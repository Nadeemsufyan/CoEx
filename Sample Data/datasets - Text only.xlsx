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enovo\Desktop\Work Start\Paper 1\Dataset\"/>
    </mc:Choice>
  </mc:AlternateContent>
  <xr:revisionPtr revIDLastSave="0" documentId="13_ncr:1_{4409C8BD-E26B-4A54-8B4E-D0C934799E34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train" sheetId="1" r:id="rId1"/>
    <sheet name="inference" sheetId="2" r:id="rId2"/>
    <sheet name="inference2" sheetId="3" r:id="rId3"/>
    <sheet name="combined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63" i="4" l="1"/>
  <c r="P51" i="3"/>
</calcChain>
</file>

<file path=xl/sharedStrings.xml><?xml version="1.0" encoding="utf-8"?>
<sst xmlns="http://schemas.openxmlformats.org/spreadsheetml/2006/main" count="1447" uniqueCount="70">
  <si>
    <t>Model</t>
  </si>
  <si>
    <t>Dataset</t>
  </si>
  <si>
    <t>number of fucntion calls</t>
  </si>
  <si>
    <t>job_type</t>
  </si>
  <si>
    <t>device_type</t>
  </si>
  <si>
    <t>speed_up</t>
  </si>
  <si>
    <t>job_combination</t>
  </si>
  <si>
    <t>node_combinatoin</t>
  </si>
  <si>
    <t>gpu_combination</t>
  </si>
  <si>
    <t>vgg19</t>
  </si>
  <si>
    <t>BERT</t>
  </si>
  <si>
    <t>ResNet-50</t>
  </si>
  <si>
    <t>GPT-2</t>
  </si>
  <si>
    <t>Remarks</t>
  </si>
  <si>
    <t>Model is too large to fit in 24 GB GPU</t>
  </si>
  <si>
    <t>seq2seq</t>
  </si>
  <si>
    <t>Wikitext_103_raw_v1</t>
  </si>
  <si>
    <t>Wikitext_103_v1</t>
  </si>
  <si>
    <t>Wikitext_2_raw_v1</t>
  </si>
  <si>
    <t>Wikitext_2_v1</t>
  </si>
  <si>
    <t>Data Size (MB)</t>
  </si>
  <si>
    <t>P6000</t>
  </si>
  <si>
    <t>Exectuion time (sec)</t>
  </si>
  <si>
    <t>train</t>
  </si>
  <si>
    <t>temp_degree</t>
  </si>
  <si>
    <t>mem_usage_percent</t>
  </si>
  <si>
    <t>cpu_usage_percent</t>
  </si>
  <si>
    <t>vram_percent</t>
  </si>
  <si>
    <t>gpu_usage_percent</t>
  </si>
  <si>
    <t>swap_percent</t>
  </si>
  <si>
    <t>50% CPU usage during tokeninzation</t>
  </si>
  <si>
    <t>imagenettiny-50</t>
  </si>
  <si>
    <t>imagenettiny-100</t>
  </si>
  <si>
    <t>imagenettiny-150</t>
  </si>
  <si>
    <t>imagenettiny-200</t>
  </si>
  <si>
    <t>6% CPU and 15% memory usage during data downloading</t>
  </si>
  <si>
    <t>epocs</t>
  </si>
  <si>
    <t>vgg13</t>
  </si>
  <si>
    <t>vgg16</t>
  </si>
  <si>
    <t>vgg11</t>
  </si>
  <si>
    <t>CPU</t>
  </si>
  <si>
    <t>forward</t>
  </si>
  <si>
    <t>steps</t>
  </si>
  <si>
    <t>wm16-Tr</t>
  </si>
  <si>
    <t>wm16_ro</t>
  </si>
  <si>
    <t>gpt2</t>
  </si>
  <si>
    <t>42.1 % CPU and 3.9% RAM use during tokenization</t>
  </si>
  <si>
    <t>cpu</t>
  </si>
  <si>
    <t>batchsize</t>
  </si>
  <si>
    <t>very large</t>
  </si>
  <si>
    <t xml:space="preserve"> very large</t>
  </si>
  <si>
    <t>Check all vgg cpu models because the runtime look so short. One assumption is that the model is not offloading processing to GPU</t>
  </si>
  <si>
    <t>inf</t>
  </si>
  <si>
    <t>23% CPU Usage</t>
  </si>
  <si>
    <t>params (million)</t>
  </si>
  <si>
    <t>wm16_ro (T5)</t>
  </si>
  <si>
    <t>wm16-Tr (T5)</t>
  </si>
  <si>
    <t>Control</t>
  </si>
  <si>
    <t>Load</t>
  </si>
  <si>
    <t>Store</t>
  </si>
  <si>
    <t>Loop</t>
  </si>
  <si>
    <t>Functions</t>
  </si>
  <si>
    <t>Function calls</t>
  </si>
  <si>
    <t>P5000</t>
  </si>
  <si>
    <t>NA</t>
  </si>
  <si>
    <t>RTX3090</t>
  </si>
  <si>
    <t>Data Type</t>
  </si>
  <si>
    <t>text</t>
  </si>
  <si>
    <t>RTX3080</t>
  </si>
  <si>
    <t>gpu utilization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</si>
</sst>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Fill="1"/>
    <xf numFmtId="3" fontId="0" fillId="0" borderId="0" xfId="0" applyNumberFormat="1" applyFill="1"/>
    <xf numFmtId="0" fontId="0" fillId="2" borderId="0" xfId="0" applyFill="1"/>
    <xf numFmtId="0" fontId="1" fillId="0" borderId="0" xfId="0" applyFont="1" applyFill="1"/>
    <xf numFmtId="9" fontId="0" fillId="0" borderId="0" xfId="0" applyNumberFormat="1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\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\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21"/>
  <sheetViews>
    <sheetView topLeftCell="I39" workbookViewId="0">
      <selection sqref="A1:AA121"/>
    </sheetView>
  </sheetViews>
  <sheetFormatPr defaultRowHeight="14.4" x14ac:dyDescent="0.3"/>
  <cols>
    <col min="1" max="1" width="12.109375" customWidth="1"/>
    <col min="2" max="2" width="24.33203125" customWidth="1"/>
    <col min="8" max="8" width="12.77734375" customWidth="1"/>
    <col min="9" max="9" width="14.44140625" customWidth="1"/>
    <col min="10" max="10" width="15.88671875" customWidth="1"/>
    <col min="12" max="12" width="17.33203125" customWidth="1"/>
    <col min="13" max="13" width="15.44140625" style="11" customWidth="1"/>
    <col min="15" max="15" width="12.109375" style="3" customWidth="1"/>
    <col min="16" max="16" width="8.88671875" style="11"/>
    <col min="22" max="22" width="8.88671875" style="11"/>
  </cols>
  <sheetData>
    <row r="1" spans="1:31" s="1" customFormat="1" x14ac:dyDescent="0.3">
      <c r="A1" s="1" t="s">
        <v>0</v>
      </c>
      <c r="B1" s="1" t="s">
        <v>1</v>
      </c>
      <c r="C1" s="1" t="s">
        <v>20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22</v>
      </c>
      <c r="K1" s="1" t="s">
        <v>36</v>
      </c>
      <c r="L1" s="1" t="s">
        <v>54</v>
      </c>
      <c r="M1" s="10" t="s">
        <v>2</v>
      </c>
      <c r="N1" s="1" t="s">
        <v>41</v>
      </c>
      <c r="O1" s="6" t="s">
        <v>48</v>
      </c>
      <c r="P1" s="10" t="s">
        <v>42</v>
      </c>
      <c r="Q1" s="1" t="s">
        <v>25</v>
      </c>
      <c r="R1" s="1" t="s">
        <v>26</v>
      </c>
      <c r="S1" s="1" t="s">
        <v>27</v>
      </c>
      <c r="T1" s="1" t="s">
        <v>28</v>
      </c>
      <c r="U1" s="1" t="s">
        <v>3</v>
      </c>
      <c r="V1" s="10" t="s">
        <v>24</v>
      </c>
      <c r="W1" s="1" t="s">
        <v>4</v>
      </c>
      <c r="X1" s="1" t="s">
        <v>5</v>
      </c>
      <c r="Y1" s="1" t="s">
        <v>6</v>
      </c>
      <c r="Z1" s="1" t="s">
        <v>7</v>
      </c>
      <c r="AA1" s="1" t="s">
        <v>8</v>
      </c>
      <c r="AE1" s="1" t="s">
        <v>13</v>
      </c>
    </row>
    <row r="2" spans="1:31" x14ac:dyDescent="0.3">
      <c r="A2" t="s">
        <v>10</v>
      </c>
      <c r="B2" t="s">
        <v>16</v>
      </c>
      <c r="C2">
        <v>157</v>
      </c>
      <c r="D2">
        <v>44</v>
      </c>
      <c r="E2">
        <v>467</v>
      </c>
      <c r="F2">
        <v>106</v>
      </c>
      <c r="G2">
        <v>0</v>
      </c>
      <c r="H2">
        <v>9</v>
      </c>
      <c r="I2">
        <v>150</v>
      </c>
      <c r="J2">
        <v>78551</v>
      </c>
      <c r="K2">
        <v>3</v>
      </c>
      <c r="L2">
        <v>108</v>
      </c>
      <c r="M2" s="11">
        <v>69142982</v>
      </c>
      <c r="N2">
        <v>409259</v>
      </c>
      <c r="O2" s="3">
        <v>8</v>
      </c>
      <c r="Q2">
        <v>3.8</v>
      </c>
      <c r="R2">
        <v>2.9</v>
      </c>
      <c r="S2">
        <v>36</v>
      </c>
      <c r="T2">
        <v>91</v>
      </c>
      <c r="U2" t="s">
        <v>23</v>
      </c>
      <c r="V2" s="11">
        <v>79</v>
      </c>
      <c r="W2" t="s">
        <v>21</v>
      </c>
    </row>
    <row r="3" spans="1:31" x14ac:dyDescent="0.3">
      <c r="A3" t="s">
        <v>10</v>
      </c>
      <c r="B3" t="s">
        <v>17</v>
      </c>
      <c r="C3">
        <v>156</v>
      </c>
      <c r="D3">
        <v>44</v>
      </c>
      <c r="E3">
        <v>467</v>
      </c>
      <c r="F3">
        <v>106</v>
      </c>
      <c r="G3">
        <v>0</v>
      </c>
      <c r="H3">
        <v>9</v>
      </c>
      <c r="I3">
        <v>150</v>
      </c>
      <c r="J3">
        <v>76500</v>
      </c>
      <c r="K3">
        <v>3</v>
      </c>
      <c r="L3">
        <v>108</v>
      </c>
      <c r="M3" s="11">
        <v>68142982</v>
      </c>
      <c r="N3">
        <v>407623</v>
      </c>
      <c r="O3" s="3">
        <v>8</v>
      </c>
      <c r="Q3">
        <v>4</v>
      </c>
      <c r="R3">
        <v>3</v>
      </c>
      <c r="S3">
        <v>33</v>
      </c>
      <c r="T3">
        <v>98</v>
      </c>
      <c r="U3" t="s">
        <v>23</v>
      </c>
      <c r="V3" s="11">
        <v>65</v>
      </c>
      <c r="W3" t="s">
        <v>21</v>
      </c>
    </row>
    <row r="4" spans="1:31" x14ac:dyDescent="0.3">
      <c r="A4" t="s">
        <v>10</v>
      </c>
      <c r="B4" t="s">
        <v>18</v>
      </c>
      <c r="C4">
        <v>6.36</v>
      </c>
      <c r="D4">
        <v>44</v>
      </c>
      <c r="E4">
        <v>467</v>
      </c>
      <c r="F4">
        <v>106</v>
      </c>
      <c r="G4">
        <v>0</v>
      </c>
      <c r="H4">
        <v>9</v>
      </c>
      <c r="I4">
        <v>150</v>
      </c>
      <c r="J4">
        <v>1311</v>
      </c>
      <c r="K4">
        <v>3</v>
      </c>
      <c r="L4">
        <v>108</v>
      </c>
      <c r="M4" s="11">
        <v>69142982</v>
      </c>
      <c r="N4">
        <v>435327</v>
      </c>
      <c r="O4" s="3">
        <v>8</v>
      </c>
      <c r="Q4">
        <v>2.6</v>
      </c>
      <c r="R4">
        <v>1.4</v>
      </c>
      <c r="S4">
        <v>30</v>
      </c>
      <c r="T4">
        <v>100</v>
      </c>
      <c r="U4" t="s">
        <v>23</v>
      </c>
      <c r="V4" s="11">
        <v>55</v>
      </c>
      <c r="W4" t="s">
        <v>21</v>
      </c>
    </row>
    <row r="5" spans="1:31" s="3" customFormat="1" x14ac:dyDescent="0.3">
      <c r="A5" s="3" t="s">
        <v>10</v>
      </c>
      <c r="B5" s="3" t="s">
        <v>19</v>
      </c>
      <c r="C5" s="3">
        <v>6.07</v>
      </c>
      <c r="D5">
        <v>44</v>
      </c>
      <c r="E5">
        <v>467</v>
      </c>
      <c r="F5">
        <v>106</v>
      </c>
      <c r="G5">
        <v>0</v>
      </c>
      <c r="H5">
        <v>9</v>
      </c>
      <c r="I5">
        <v>150</v>
      </c>
      <c r="J5" s="3">
        <v>1349</v>
      </c>
      <c r="K5" s="3">
        <v>3</v>
      </c>
      <c r="L5" s="3">
        <v>108</v>
      </c>
      <c r="M5" s="11">
        <v>68508766</v>
      </c>
      <c r="N5" s="3">
        <v>404917</v>
      </c>
      <c r="O5" s="3">
        <v>8</v>
      </c>
      <c r="P5" s="11"/>
      <c r="Q5" s="3">
        <v>2.4</v>
      </c>
      <c r="R5" s="3">
        <v>1.8</v>
      </c>
      <c r="S5" s="3">
        <v>32</v>
      </c>
      <c r="T5" s="3">
        <v>100</v>
      </c>
      <c r="U5" s="3" t="s">
        <v>23</v>
      </c>
      <c r="V5" s="11">
        <v>49</v>
      </c>
      <c r="W5" s="3" t="s">
        <v>21</v>
      </c>
    </row>
    <row r="6" spans="1:31" s="3" customFormat="1" x14ac:dyDescent="0.3">
      <c r="A6" s="3" t="s">
        <v>12</v>
      </c>
      <c r="B6" s="3" t="s">
        <v>16</v>
      </c>
      <c r="C6" s="3">
        <v>157</v>
      </c>
      <c r="D6" s="3">
        <v>53</v>
      </c>
      <c r="E6" s="3">
        <v>511</v>
      </c>
      <c r="F6" s="3">
        <v>114</v>
      </c>
      <c r="G6" s="3">
        <v>1</v>
      </c>
      <c r="H6" s="3">
        <v>10</v>
      </c>
      <c r="I6" s="3">
        <v>162</v>
      </c>
      <c r="J6" s="3">
        <v>78038</v>
      </c>
      <c r="K6" s="3">
        <v>3</v>
      </c>
      <c r="L6" s="3">
        <v>124</v>
      </c>
      <c r="O6" s="3">
        <v>8</v>
      </c>
      <c r="Q6" s="3">
        <v>4.5999999999999996</v>
      </c>
      <c r="R6" s="3">
        <v>2.9</v>
      </c>
      <c r="S6" s="3">
        <v>54</v>
      </c>
      <c r="T6" s="3">
        <v>100</v>
      </c>
      <c r="U6" s="3" t="s">
        <v>23</v>
      </c>
      <c r="V6" s="3">
        <v>67</v>
      </c>
      <c r="W6" s="3" t="s">
        <v>21</v>
      </c>
      <c r="AC6" s="3" t="s">
        <v>30</v>
      </c>
    </row>
    <row r="7" spans="1:31" s="3" customFormat="1" x14ac:dyDescent="0.3">
      <c r="A7" s="3" t="s">
        <v>12</v>
      </c>
      <c r="B7" s="3" t="s">
        <v>17</v>
      </c>
      <c r="C7" s="3">
        <v>156</v>
      </c>
      <c r="D7" s="3">
        <v>53</v>
      </c>
      <c r="E7" s="3">
        <v>511</v>
      </c>
      <c r="F7" s="3">
        <v>114</v>
      </c>
      <c r="G7" s="3">
        <v>1</v>
      </c>
      <c r="H7" s="3">
        <v>10</v>
      </c>
      <c r="I7" s="3">
        <v>162</v>
      </c>
      <c r="J7" s="3">
        <v>71911</v>
      </c>
      <c r="K7" s="3">
        <v>3</v>
      </c>
      <c r="L7" s="3">
        <v>124</v>
      </c>
      <c r="O7" s="3">
        <v>8</v>
      </c>
      <c r="Q7" s="3">
        <v>4.7</v>
      </c>
      <c r="R7" s="3">
        <v>2.8</v>
      </c>
      <c r="S7" s="3">
        <v>53</v>
      </c>
      <c r="T7" s="3">
        <v>100</v>
      </c>
      <c r="U7" s="3" t="s">
        <v>23</v>
      </c>
      <c r="V7" s="3">
        <v>49</v>
      </c>
      <c r="W7" s="3" t="s">
        <v>21</v>
      </c>
    </row>
    <row r="8" spans="1:31" s="3" customFormat="1" x14ac:dyDescent="0.3">
      <c r="A8" s="3" t="s">
        <v>12</v>
      </c>
      <c r="B8" s="3" t="s">
        <v>18</v>
      </c>
      <c r="C8" s="3">
        <v>6.36</v>
      </c>
      <c r="D8" s="3">
        <v>53</v>
      </c>
      <c r="E8" s="3">
        <v>511</v>
      </c>
      <c r="F8" s="3">
        <v>114</v>
      </c>
      <c r="G8" s="3">
        <v>1</v>
      </c>
      <c r="H8" s="3">
        <v>10</v>
      </c>
      <c r="I8" s="3">
        <v>162</v>
      </c>
      <c r="J8" s="3">
        <v>1234</v>
      </c>
      <c r="K8" s="3">
        <v>3</v>
      </c>
      <c r="L8" s="3">
        <v>124</v>
      </c>
      <c r="M8" s="3">
        <v>34815168</v>
      </c>
      <c r="N8" s="3">
        <v>137380</v>
      </c>
      <c r="O8" s="3">
        <v>8</v>
      </c>
      <c r="Q8" s="3">
        <v>4.0999999999999996</v>
      </c>
      <c r="R8" s="3">
        <v>3.8</v>
      </c>
      <c r="S8" s="3">
        <v>60</v>
      </c>
      <c r="T8" s="3">
        <v>97</v>
      </c>
      <c r="U8" s="3" t="s">
        <v>23</v>
      </c>
      <c r="V8" s="3">
        <v>45</v>
      </c>
      <c r="W8" s="3" t="s">
        <v>21</v>
      </c>
    </row>
    <row r="9" spans="1:31" s="3" customFormat="1" x14ac:dyDescent="0.3">
      <c r="A9" s="3" t="s">
        <v>12</v>
      </c>
      <c r="B9" s="3" t="s">
        <v>19</v>
      </c>
      <c r="C9" s="3">
        <v>6.07</v>
      </c>
      <c r="D9" s="3">
        <v>53</v>
      </c>
      <c r="E9" s="3">
        <v>511</v>
      </c>
      <c r="F9" s="3">
        <v>114</v>
      </c>
      <c r="G9" s="3">
        <v>1</v>
      </c>
      <c r="H9" s="3">
        <v>10</v>
      </c>
      <c r="I9" s="3">
        <v>162</v>
      </c>
      <c r="J9" s="3">
        <v>1257</v>
      </c>
      <c r="K9" s="3">
        <v>3</v>
      </c>
      <c r="L9" s="3">
        <v>124</v>
      </c>
      <c r="M9" s="3">
        <v>35172597</v>
      </c>
      <c r="N9" s="3">
        <v>139095</v>
      </c>
      <c r="O9" s="3">
        <v>8</v>
      </c>
      <c r="Q9" s="3">
        <v>4.0999999999999996</v>
      </c>
      <c r="R9" s="3">
        <v>5.2</v>
      </c>
      <c r="S9" s="3">
        <v>54</v>
      </c>
      <c r="T9" s="3">
        <v>98</v>
      </c>
      <c r="U9" s="3" t="s">
        <v>23</v>
      </c>
      <c r="V9" s="3">
        <v>55</v>
      </c>
      <c r="W9" s="3" t="s">
        <v>21</v>
      </c>
    </row>
    <row r="10" spans="1:31" x14ac:dyDescent="0.3">
      <c r="A10" t="s">
        <v>9</v>
      </c>
      <c r="B10" t="s">
        <v>31</v>
      </c>
      <c r="C10">
        <v>51.7</v>
      </c>
      <c r="D10">
        <v>6</v>
      </c>
      <c r="E10">
        <v>265</v>
      </c>
      <c r="F10">
        <v>90</v>
      </c>
      <c r="G10">
        <v>9</v>
      </c>
      <c r="H10">
        <v>6</v>
      </c>
      <c r="I10">
        <v>133</v>
      </c>
      <c r="J10">
        <v>13.455</v>
      </c>
      <c r="K10">
        <v>5</v>
      </c>
      <c r="L10" s="3">
        <v>144</v>
      </c>
      <c r="M10" s="11">
        <v>208376</v>
      </c>
      <c r="N10">
        <v>453</v>
      </c>
      <c r="O10" s="3">
        <v>100</v>
      </c>
      <c r="Q10">
        <v>50.4</v>
      </c>
      <c r="R10">
        <v>3.6</v>
      </c>
      <c r="S10">
        <v>86</v>
      </c>
      <c r="T10">
        <v>100</v>
      </c>
      <c r="U10" t="s">
        <v>23</v>
      </c>
      <c r="V10" s="11">
        <v>55</v>
      </c>
      <c r="W10" t="s">
        <v>21</v>
      </c>
    </row>
    <row r="11" spans="1:31" x14ac:dyDescent="0.3">
      <c r="A11" t="s">
        <v>9</v>
      </c>
      <c r="B11" t="s">
        <v>32</v>
      </c>
      <c r="C11">
        <v>101.5</v>
      </c>
      <c r="D11">
        <v>6</v>
      </c>
      <c r="E11">
        <v>265</v>
      </c>
      <c r="F11">
        <v>90</v>
      </c>
      <c r="G11">
        <v>9</v>
      </c>
      <c r="H11">
        <v>6</v>
      </c>
      <c r="I11">
        <v>133</v>
      </c>
      <c r="J11">
        <v>18.132000000000001</v>
      </c>
      <c r="K11">
        <v>5</v>
      </c>
      <c r="L11" s="3">
        <v>144</v>
      </c>
      <c r="M11" s="11">
        <v>207585</v>
      </c>
      <c r="N11">
        <v>453</v>
      </c>
      <c r="O11" s="3">
        <v>100</v>
      </c>
      <c r="Q11">
        <v>49.3</v>
      </c>
      <c r="R11">
        <v>3.4</v>
      </c>
      <c r="S11">
        <v>80</v>
      </c>
      <c r="T11">
        <v>99</v>
      </c>
      <c r="U11" t="s">
        <v>23</v>
      </c>
      <c r="V11" s="11">
        <v>48</v>
      </c>
      <c r="W11" t="s">
        <v>21</v>
      </c>
    </row>
    <row r="12" spans="1:31" x14ac:dyDescent="0.3">
      <c r="A12" t="s">
        <v>9</v>
      </c>
      <c r="B12" t="s">
        <v>33</v>
      </c>
      <c r="C12">
        <v>150.9</v>
      </c>
      <c r="D12">
        <v>6</v>
      </c>
      <c r="E12">
        <v>265</v>
      </c>
      <c r="F12">
        <v>90</v>
      </c>
      <c r="G12">
        <v>9</v>
      </c>
      <c r="H12">
        <v>6</v>
      </c>
      <c r="I12">
        <v>133</v>
      </c>
      <c r="J12">
        <v>25.309000000000001</v>
      </c>
      <c r="K12">
        <v>5</v>
      </c>
      <c r="L12" s="3">
        <v>144</v>
      </c>
      <c r="M12" s="11">
        <v>207377</v>
      </c>
      <c r="N12">
        <v>453</v>
      </c>
      <c r="O12" s="3">
        <v>100</v>
      </c>
      <c r="Q12">
        <v>50.9</v>
      </c>
      <c r="R12">
        <v>3.1</v>
      </c>
      <c r="S12">
        <v>79</v>
      </c>
      <c r="T12">
        <v>99</v>
      </c>
      <c r="U12" t="s">
        <v>23</v>
      </c>
      <c r="V12" s="11">
        <v>50</v>
      </c>
      <c r="W12" t="s">
        <v>21</v>
      </c>
    </row>
    <row r="13" spans="1:31" x14ac:dyDescent="0.3">
      <c r="A13" t="s">
        <v>9</v>
      </c>
      <c r="B13" t="s">
        <v>34</v>
      </c>
      <c r="C13">
        <v>201.5</v>
      </c>
      <c r="D13">
        <v>6</v>
      </c>
      <c r="E13">
        <v>265</v>
      </c>
      <c r="F13">
        <v>90</v>
      </c>
      <c r="G13">
        <v>9</v>
      </c>
      <c r="H13">
        <v>6</v>
      </c>
      <c r="I13">
        <v>133</v>
      </c>
      <c r="J13">
        <v>31.295999999999999</v>
      </c>
      <c r="K13">
        <v>5</v>
      </c>
      <c r="L13" s="3">
        <v>144</v>
      </c>
      <c r="M13" s="11">
        <v>208228</v>
      </c>
      <c r="N13">
        <v>453</v>
      </c>
      <c r="O13" s="3">
        <v>100</v>
      </c>
      <c r="Q13">
        <v>51.1</v>
      </c>
      <c r="R13">
        <v>4</v>
      </c>
      <c r="S13">
        <v>72</v>
      </c>
      <c r="T13">
        <v>92</v>
      </c>
      <c r="U13" t="s">
        <v>23</v>
      </c>
      <c r="V13" s="11">
        <v>63</v>
      </c>
      <c r="W13" t="s">
        <v>21</v>
      </c>
    </row>
    <row r="14" spans="1:31" x14ac:dyDescent="0.3">
      <c r="A14" t="s">
        <v>37</v>
      </c>
      <c r="B14" t="s">
        <v>31</v>
      </c>
      <c r="C14">
        <v>51.7</v>
      </c>
      <c r="D14">
        <v>6</v>
      </c>
      <c r="E14">
        <v>265</v>
      </c>
      <c r="F14">
        <v>90</v>
      </c>
      <c r="G14">
        <v>9</v>
      </c>
      <c r="H14">
        <v>6</v>
      </c>
      <c r="I14">
        <v>133</v>
      </c>
      <c r="J14">
        <v>8.81</v>
      </c>
      <c r="K14">
        <v>5</v>
      </c>
      <c r="L14" s="3">
        <v>133</v>
      </c>
      <c r="M14" s="11">
        <v>197117</v>
      </c>
      <c r="N14">
        <v>327</v>
      </c>
      <c r="O14" s="3">
        <v>100</v>
      </c>
      <c r="Q14">
        <v>50.1</v>
      </c>
      <c r="R14">
        <v>3.7</v>
      </c>
      <c r="S14">
        <v>77</v>
      </c>
      <c r="T14">
        <v>92</v>
      </c>
      <c r="U14" t="s">
        <v>23</v>
      </c>
      <c r="V14" s="11">
        <v>42</v>
      </c>
      <c r="W14" t="s">
        <v>21</v>
      </c>
      <c r="AC14" t="s">
        <v>35</v>
      </c>
    </row>
    <row r="15" spans="1:31" x14ac:dyDescent="0.3">
      <c r="A15" t="s">
        <v>37</v>
      </c>
      <c r="B15" t="s">
        <v>32</v>
      </c>
      <c r="C15">
        <v>101.5</v>
      </c>
      <c r="D15">
        <v>6</v>
      </c>
      <c r="E15">
        <v>265</v>
      </c>
      <c r="F15">
        <v>90</v>
      </c>
      <c r="G15">
        <v>9</v>
      </c>
      <c r="H15">
        <v>6</v>
      </c>
      <c r="I15">
        <v>133</v>
      </c>
      <c r="J15">
        <v>14.420999999999999</v>
      </c>
      <c r="K15">
        <v>5</v>
      </c>
      <c r="L15" s="3">
        <v>133</v>
      </c>
      <c r="M15" s="11">
        <v>196929</v>
      </c>
      <c r="N15">
        <v>327</v>
      </c>
      <c r="O15" s="3">
        <v>100</v>
      </c>
      <c r="Q15">
        <v>50.4</v>
      </c>
      <c r="R15">
        <v>3.8</v>
      </c>
      <c r="S15">
        <v>62</v>
      </c>
      <c r="T15">
        <v>74</v>
      </c>
      <c r="U15" t="s">
        <v>23</v>
      </c>
      <c r="V15" s="11">
        <v>50</v>
      </c>
      <c r="W15" t="s">
        <v>21</v>
      </c>
    </row>
    <row r="16" spans="1:31" x14ac:dyDescent="0.3">
      <c r="A16" t="s">
        <v>37</v>
      </c>
      <c r="B16" t="s">
        <v>33</v>
      </c>
      <c r="C16">
        <v>150.9</v>
      </c>
      <c r="D16">
        <v>6</v>
      </c>
      <c r="E16">
        <v>265</v>
      </c>
      <c r="F16">
        <v>90</v>
      </c>
      <c r="G16">
        <v>9</v>
      </c>
      <c r="H16">
        <v>6</v>
      </c>
      <c r="I16">
        <v>133</v>
      </c>
      <c r="J16">
        <v>17.457000000000001</v>
      </c>
      <c r="K16">
        <v>5</v>
      </c>
      <c r="L16" s="3">
        <v>133</v>
      </c>
      <c r="M16" s="11">
        <v>196631</v>
      </c>
      <c r="N16">
        <v>327</v>
      </c>
      <c r="O16" s="3">
        <v>100</v>
      </c>
      <c r="Q16">
        <v>51.1</v>
      </c>
      <c r="R16">
        <v>4</v>
      </c>
      <c r="S16">
        <v>35</v>
      </c>
      <c r="T16">
        <v>42</v>
      </c>
      <c r="U16" t="s">
        <v>23</v>
      </c>
      <c r="V16" s="11">
        <v>52</v>
      </c>
      <c r="W16" t="s">
        <v>21</v>
      </c>
    </row>
    <row r="17" spans="1:23" x14ac:dyDescent="0.3">
      <c r="A17" t="s">
        <v>37</v>
      </c>
      <c r="B17" t="s">
        <v>34</v>
      </c>
      <c r="C17">
        <v>201.5</v>
      </c>
      <c r="D17">
        <v>6</v>
      </c>
      <c r="E17">
        <v>265</v>
      </c>
      <c r="F17">
        <v>90</v>
      </c>
      <c r="G17">
        <v>9</v>
      </c>
      <c r="H17">
        <v>6</v>
      </c>
      <c r="I17">
        <v>133</v>
      </c>
      <c r="J17">
        <v>22.102</v>
      </c>
      <c r="K17">
        <v>5</v>
      </c>
      <c r="L17" s="3">
        <v>133</v>
      </c>
      <c r="M17" s="11">
        <v>197235</v>
      </c>
      <c r="N17">
        <v>327</v>
      </c>
      <c r="O17" s="3">
        <v>100</v>
      </c>
      <c r="Q17">
        <v>50.3</v>
      </c>
      <c r="R17">
        <v>4.0999999999999996</v>
      </c>
      <c r="S17">
        <v>42</v>
      </c>
      <c r="T17">
        <v>50</v>
      </c>
      <c r="U17" t="s">
        <v>23</v>
      </c>
      <c r="V17" s="11">
        <v>49</v>
      </c>
      <c r="W17" t="s">
        <v>21</v>
      </c>
    </row>
    <row r="18" spans="1:23" x14ac:dyDescent="0.3">
      <c r="A18" t="s">
        <v>38</v>
      </c>
      <c r="B18" t="s">
        <v>31</v>
      </c>
      <c r="C18">
        <v>51.7</v>
      </c>
      <c r="D18">
        <v>6</v>
      </c>
      <c r="E18">
        <v>265</v>
      </c>
      <c r="F18">
        <v>90</v>
      </c>
      <c r="G18">
        <v>9</v>
      </c>
      <c r="H18">
        <v>6</v>
      </c>
      <c r="I18">
        <v>133</v>
      </c>
      <c r="J18">
        <v>11.278</v>
      </c>
      <c r="K18">
        <v>5</v>
      </c>
      <c r="L18" s="3">
        <v>138</v>
      </c>
      <c r="M18" s="11">
        <v>202587</v>
      </c>
      <c r="N18">
        <v>390</v>
      </c>
      <c r="O18" s="3">
        <v>100</v>
      </c>
      <c r="Q18">
        <v>50.2</v>
      </c>
      <c r="R18">
        <v>4.0999999999999996</v>
      </c>
      <c r="S18">
        <v>42</v>
      </c>
      <c r="T18">
        <v>50</v>
      </c>
      <c r="U18" t="s">
        <v>23</v>
      </c>
      <c r="V18" s="11">
        <v>51</v>
      </c>
      <c r="W18" t="s">
        <v>21</v>
      </c>
    </row>
    <row r="19" spans="1:23" x14ac:dyDescent="0.3">
      <c r="A19" t="s">
        <v>38</v>
      </c>
      <c r="B19" t="s">
        <v>32</v>
      </c>
      <c r="C19">
        <v>101.5</v>
      </c>
      <c r="D19">
        <v>6</v>
      </c>
      <c r="E19">
        <v>265</v>
      </c>
      <c r="F19">
        <v>90</v>
      </c>
      <c r="G19">
        <v>9</v>
      </c>
      <c r="H19">
        <v>6</v>
      </c>
      <c r="I19">
        <v>133</v>
      </c>
      <c r="J19">
        <v>16.375</v>
      </c>
      <c r="K19">
        <v>5</v>
      </c>
      <c r="L19" s="3">
        <v>138</v>
      </c>
      <c r="M19" s="11">
        <v>202159</v>
      </c>
      <c r="N19">
        <v>390</v>
      </c>
      <c r="O19" s="3">
        <v>100</v>
      </c>
      <c r="Q19">
        <v>52.9</v>
      </c>
      <c r="R19">
        <v>17.100000000000001</v>
      </c>
      <c r="S19">
        <v>81</v>
      </c>
      <c r="T19">
        <v>99</v>
      </c>
      <c r="U19" t="s">
        <v>23</v>
      </c>
      <c r="V19" s="11">
        <v>51</v>
      </c>
      <c r="W19" t="s">
        <v>21</v>
      </c>
    </row>
    <row r="20" spans="1:23" x14ac:dyDescent="0.3">
      <c r="A20" t="s">
        <v>38</v>
      </c>
      <c r="B20" t="s">
        <v>33</v>
      </c>
      <c r="C20">
        <v>150.9</v>
      </c>
      <c r="D20">
        <v>6</v>
      </c>
      <c r="E20">
        <v>265</v>
      </c>
      <c r="F20">
        <v>90</v>
      </c>
      <c r="G20">
        <v>9</v>
      </c>
      <c r="H20">
        <v>6</v>
      </c>
      <c r="I20">
        <v>133</v>
      </c>
      <c r="J20">
        <v>20.635000000000002</v>
      </c>
      <c r="K20">
        <v>5</v>
      </c>
      <c r="L20" s="3">
        <v>138</v>
      </c>
      <c r="M20" s="11">
        <v>202193</v>
      </c>
      <c r="N20">
        <v>390</v>
      </c>
      <c r="O20" s="3">
        <v>100</v>
      </c>
      <c r="Q20">
        <v>54.9</v>
      </c>
      <c r="R20">
        <v>19.899999999999999</v>
      </c>
      <c r="S20">
        <v>73</v>
      </c>
      <c r="T20">
        <v>97</v>
      </c>
      <c r="U20" t="s">
        <v>23</v>
      </c>
      <c r="V20" s="11">
        <v>62</v>
      </c>
      <c r="W20" t="s">
        <v>21</v>
      </c>
    </row>
    <row r="21" spans="1:23" x14ac:dyDescent="0.3">
      <c r="A21" t="s">
        <v>38</v>
      </c>
      <c r="B21" t="s">
        <v>34</v>
      </c>
      <c r="C21">
        <v>201.5</v>
      </c>
      <c r="D21">
        <v>6</v>
      </c>
      <c r="E21">
        <v>265</v>
      </c>
      <c r="F21">
        <v>90</v>
      </c>
      <c r="G21">
        <v>9</v>
      </c>
      <c r="H21">
        <v>6</v>
      </c>
      <c r="I21">
        <v>133</v>
      </c>
      <c r="J21">
        <v>25.440999999999999</v>
      </c>
      <c r="K21">
        <v>5</v>
      </c>
      <c r="L21" s="3">
        <v>138</v>
      </c>
      <c r="M21" s="11">
        <v>203055</v>
      </c>
      <c r="N21">
        <v>390</v>
      </c>
      <c r="O21" s="3">
        <v>100</v>
      </c>
      <c r="Q21">
        <v>56.1</v>
      </c>
      <c r="R21">
        <v>20.100000000000001</v>
      </c>
      <c r="S21">
        <v>77</v>
      </c>
      <c r="T21">
        <v>100</v>
      </c>
      <c r="U21" t="s">
        <v>23</v>
      </c>
      <c r="V21" s="11">
        <v>69</v>
      </c>
      <c r="W21" t="s">
        <v>21</v>
      </c>
    </row>
    <row r="22" spans="1:23" x14ac:dyDescent="0.3">
      <c r="A22" t="s">
        <v>39</v>
      </c>
      <c r="B22" t="s">
        <v>31</v>
      </c>
      <c r="C22">
        <v>51.7</v>
      </c>
      <c r="D22">
        <v>6</v>
      </c>
      <c r="E22">
        <v>265</v>
      </c>
      <c r="F22">
        <v>90</v>
      </c>
      <c r="G22">
        <v>9</v>
      </c>
      <c r="H22">
        <v>6</v>
      </c>
      <c r="I22">
        <v>133</v>
      </c>
      <c r="J22">
        <v>5.97</v>
      </c>
      <c r="K22">
        <v>5</v>
      </c>
      <c r="L22" s="3">
        <v>132</v>
      </c>
      <c r="M22" s="11">
        <v>193330</v>
      </c>
      <c r="N22">
        <v>451</v>
      </c>
      <c r="O22" s="3">
        <v>100</v>
      </c>
      <c r="Q22">
        <v>53.2</v>
      </c>
      <c r="R22">
        <v>19.2</v>
      </c>
      <c r="S22">
        <v>86</v>
      </c>
      <c r="T22">
        <v>99</v>
      </c>
      <c r="U22" t="s">
        <v>23</v>
      </c>
      <c r="V22" s="11">
        <v>67</v>
      </c>
      <c r="W22" t="s">
        <v>21</v>
      </c>
    </row>
    <row r="23" spans="1:23" x14ac:dyDescent="0.3">
      <c r="A23" t="s">
        <v>39</v>
      </c>
      <c r="B23" t="s">
        <v>32</v>
      </c>
      <c r="C23">
        <v>101.5</v>
      </c>
      <c r="D23">
        <v>6</v>
      </c>
      <c r="E23">
        <v>265</v>
      </c>
      <c r="F23">
        <v>90</v>
      </c>
      <c r="G23">
        <v>9</v>
      </c>
      <c r="H23">
        <v>6</v>
      </c>
      <c r="I23">
        <v>133</v>
      </c>
      <c r="J23">
        <v>10.602</v>
      </c>
      <c r="K23">
        <v>5</v>
      </c>
      <c r="L23" s="3">
        <v>132</v>
      </c>
      <c r="M23" s="11">
        <v>193195</v>
      </c>
      <c r="N23">
        <v>222</v>
      </c>
      <c r="O23" s="3">
        <v>100</v>
      </c>
      <c r="Q23">
        <v>52.8</v>
      </c>
      <c r="R23">
        <v>20.100000000000001</v>
      </c>
      <c r="S23">
        <v>69</v>
      </c>
      <c r="T23">
        <v>89</v>
      </c>
      <c r="U23" t="s">
        <v>23</v>
      </c>
      <c r="V23" s="11">
        <v>70</v>
      </c>
      <c r="W23" t="s">
        <v>21</v>
      </c>
    </row>
    <row r="24" spans="1:23" x14ac:dyDescent="0.3">
      <c r="A24" t="s">
        <v>39</v>
      </c>
      <c r="B24" t="s">
        <v>33</v>
      </c>
      <c r="C24">
        <v>150.9</v>
      </c>
      <c r="D24">
        <v>6</v>
      </c>
      <c r="E24">
        <v>265</v>
      </c>
      <c r="F24">
        <v>90</v>
      </c>
      <c r="G24">
        <v>9</v>
      </c>
      <c r="H24">
        <v>6</v>
      </c>
      <c r="I24">
        <v>133</v>
      </c>
      <c r="J24">
        <v>12.401999999999999</v>
      </c>
      <c r="K24">
        <v>5</v>
      </c>
      <c r="L24" s="3">
        <v>132</v>
      </c>
      <c r="M24" s="11">
        <v>192989</v>
      </c>
      <c r="N24">
        <v>292</v>
      </c>
      <c r="O24" s="3">
        <v>100</v>
      </c>
      <c r="Q24">
        <v>53.9</v>
      </c>
      <c r="R24">
        <v>19.899999999999999</v>
      </c>
      <c r="S24">
        <v>47</v>
      </c>
      <c r="T24">
        <v>59</v>
      </c>
      <c r="U24" t="s">
        <v>23</v>
      </c>
      <c r="V24" s="11">
        <v>68</v>
      </c>
      <c r="W24" t="s">
        <v>21</v>
      </c>
    </row>
    <row r="25" spans="1:23" x14ac:dyDescent="0.3">
      <c r="A25" t="s">
        <v>39</v>
      </c>
      <c r="B25" t="s">
        <v>34</v>
      </c>
      <c r="C25">
        <v>201.5</v>
      </c>
      <c r="D25">
        <v>6</v>
      </c>
      <c r="E25">
        <v>265</v>
      </c>
      <c r="F25">
        <v>90</v>
      </c>
      <c r="G25">
        <v>9</v>
      </c>
      <c r="H25">
        <v>6</v>
      </c>
      <c r="I25">
        <v>133</v>
      </c>
      <c r="J25">
        <v>14.51</v>
      </c>
      <c r="K25">
        <v>5</v>
      </c>
      <c r="L25" s="3">
        <v>132</v>
      </c>
      <c r="M25" s="11">
        <v>193353</v>
      </c>
      <c r="N25">
        <v>285</v>
      </c>
      <c r="O25" s="3">
        <v>100</v>
      </c>
      <c r="Q25">
        <v>53.2</v>
      </c>
      <c r="R25">
        <v>20.2</v>
      </c>
      <c r="S25">
        <v>33</v>
      </c>
      <c r="T25">
        <v>45</v>
      </c>
      <c r="U25" t="s">
        <v>23</v>
      </c>
      <c r="V25" s="11">
        <v>66</v>
      </c>
      <c r="W25" t="s">
        <v>21</v>
      </c>
    </row>
    <row r="26" spans="1:23" x14ac:dyDescent="0.3">
      <c r="A26" t="s">
        <v>11</v>
      </c>
      <c r="B26" t="s">
        <v>31</v>
      </c>
      <c r="C26">
        <v>51.7</v>
      </c>
      <c r="D26">
        <v>0</v>
      </c>
      <c r="E26">
        <v>19</v>
      </c>
      <c r="F26">
        <v>9</v>
      </c>
      <c r="G26">
        <v>0</v>
      </c>
      <c r="H26">
        <v>0</v>
      </c>
      <c r="I26">
        <v>16</v>
      </c>
      <c r="J26">
        <v>71.313000000000002</v>
      </c>
      <c r="K26">
        <v>1</v>
      </c>
      <c r="L26" s="3">
        <v>25.6</v>
      </c>
      <c r="M26" s="11">
        <v>7583593</v>
      </c>
      <c r="N26">
        <v>235419</v>
      </c>
      <c r="O26" s="3">
        <v>32</v>
      </c>
      <c r="Q26">
        <v>4</v>
      </c>
      <c r="R26">
        <v>2.6</v>
      </c>
      <c r="S26">
        <v>45</v>
      </c>
      <c r="T26">
        <v>80</v>
      </c>
      <c r="U26" t="s">
        <v>23</v>
      </c>
      <c r="V26" s="11">
        <v>45</v>
      </c>
      <c r="W26" t="s">
        <v>21</v>
      </c>
    </row>
    <row r="27" spans="1:23" x14ac:dyDescent="0.3">
      <c r="A27" t="s">
        <v>11</v>
      </c>
      <c r="B27" t="s">
        <v>32</v>
      </c>
      <c r="C27">
        <v>101.5</v>
      </c>
      <c r="D27">
        <v>0</v>
      </c>
      <c r="E27">
        <v>19</v>
      </c>
      <c r="F27">
        <v>9</v>
      </c>
      <c r="G27">
        <v>0</v>
      </c>
      <c r="H27">
        <v>0</v>
      </c>
      <c r="I27">
        <v>16</v>
      </c>
      <c r="J27">
        <v>112</v>
      </c>
      <c r="K27">
        <v>1</v>
      </c>
      <c r="L27" s="3">
        <v>25.6</v>
      </c>
      <c r="M27" s="11">
        <v>11657510</v>
      </c>
      <c r="N27">
        <v>365042</v>
      </c>
      <c r="O27" s="3">
        <v>32</v>
      </c>
      <c r="Q27">
        <v>2.8</v>
      </c>
      <c r="R27">
        <v>2.7</v>
      </c>
      <c r="S27">
        <v>55</v>
      </c>
      <c r="T27">
        <v>96</v>
      </c>
      <c r="U27" t="s">
        <v>23</v>
      </c>
      <c r="V27" s="11">
        <v>55</v>
      </c>
      <c r="W27" t="s">
        <v>21</v>
      </c>
    </row>
    <row r="28" spans="1:23" x14ac:dyDescent="0.3">
      <c r="A28" t="s">
        <v>11</v>
      </c>
      <c r="B28" t="s">
        <v>33</v>
      </c>
      <c r="C28">
        <v>150.9</v>
      </c>
      <c r="D28">
        <v>0</v>
      </c>
      <c r="E28">
        <v>19</v>
      </c>
      <c r="F28">
        <v>9</v>
      </c>
      <c r="G28">
        <v>0</v>
      </c>
      <c r="H28">
        <v>0</v>
      </c>
      <c r="I28">
        <v>16</v>
      </c>
      <c r="J28">
        <v>158.30000000000001</v>
      </c>
      <c r="K28">
        <v>1</v>
      </c>
      <c r="L28" s="3">
        <v>25.6</v>
      </c>
      <c r="M28" s="11">
        <v>15814953</v>
      </c>
      <c r="N28">
        <v>491238</v>
      </c>
      <c r="O28" s="3">
        <v>32</v>
      </c>
      <c r="Q28">
        <v>2.6</v>
      </c>
      <c r="R28">
        <v>2.9</v>
      </c>
      <c r="S28">
        <v>44</v>
      </c>
      <c r="T28">
        <v>79</v>
      </c>
      <c r="U28" t="s">
        <v>23</v>
      </c>
      <c r="V28" s="11">
        <v>61</v>
      </c>
      <c r="W28" t="s">
        <v>21</v>
      </c>
    </row>
    <row r="29" spans="1:23" x14ac:dyDescent="0.3">
      <c r="A29" t="s">
        <v>11</v>
      </c>
      <c r="B29" t="s">
        <v>34</v>
      </c>
      <c r="C29">
        <v>201.5</v>
      </c>
      <c r="D29">
        <v>0</v>
      </c>
      <c r="E29">
        <v>19</v>
      </c>
      <c r="F29">
        <v>9</v>
      </c>
      <c r="G29">
        <v>0</v>
      </c>
      <c r="H29">
        <v>0</v>
      </c>
      <c r="I29">
        <v>16</v>
      </c>
      <c r="J29">
        <v>198.79900000000001</v>
      </c>
      <c r="K29">
        <v>1</v>
      </c>
      <c r="L29" s="3">
        <v>25.6</v>
      </c>
      <c r="M29" s="11">
        <v>19889706</v>
      </c>
      <c r="N29">
        <v>617861</v>
      </c>
      <c r="O29" s="3">
        <v>32</v>
      </c>
      <c r="Q29">
        <v>2.5</v>
      </c>
      <c r="R29">
        <v>2.8</v>
      </c>
      <c r="S29">
        <v>41</v>
      </c>
      <c r="T29">
        <v>73</v>
      </c>
      <c r="U29" t="s">
        <v>23</v>
      </c>
      <c r="V29" s="11">
        <v>69</v>
      </c>
      <c r="W29" t="s">
        <v>21</v>
      </c>
    </row>
    <row r="30" spans="1:23" s="3" customFormat="1" x14ac:dyDescent="0.3">
      <c r="A30" s="3" t="s">
        <v>15</v>
      </c>
      <c r="B30" s="3" t="s">
        <v>55</v>
      </c>
      <c r="C30" s="3">
        <v>103</v>
      </c>
      <c r="D30" s="3">
        <v>2</v>
      </c>
      <c r="E30" s="3">
        <v>12</v>
      </c>
      <c r="F30" s="3">
        <v>5</v>
      </c>
      <c r="G30" s="3">
        <v>0</v>
      </c>
      <c r="H30" s="3">
        <v>0</v>
      </c>
      <c r="I30" s="3">
        <v>5</v>
      </c>
      <c r="J30" s="3">
        <v>440</v>
      </c>
      <c r="K30" s="3">
        <v>1</v>
      </c>
      <c r="L30" s="3">
        <v>60</v>
      </c>
      <c r="M30" s="11">
        <v>80848023</v>
      </c>
      <c r="N30" s="4">
        <v>957786</v>
      </c>
      <c r="O30" s="3">
        <v>16</v>
      </c>
      <c r="P30" s="11">
        <v>124</v>
      </c>
      <c r="Q30" s="3">
        <v>2.7</v>
      </c>
      <c r="R30" s="3">
        <v>4.3</v>
      </c>
      <c r="S30" s="3">
        <v>98</v>
      </c>
      <c r="T30" s="3">
        <v>11</v>
      </c>
      <c r="U30" s="3" t="s">
        <v>23</v>
      </c>
      <c r="V30" s="11">
        <v>69</v>
      </c>
      <c r="W30" s="3" t="s">
        <v>21</v>
      </c>
    </row>
    <row r="31" spans="1:23" s="3" customFormat="1" x14ac:dyDescent="0.3">
      <c r="A31" s="3" t="s">
        <v>15</v>
      </c>
      <c r="B31" s="3" t="s">
        <v>56</v>
      </c>
      <c r="C31" s="3">
        <v>36.799999999999997</v>
      </c>
      <c r="D31" s="3">
        <v>2</v>
      </c>
      <c r="E31" s="3">
        <v>12</v>
      </c>
      <c r="F31" s="3">
        <v>5</v>
      </c>
      <c r="G31" s="3">
        <v>0</v>
      </c>
      <c r="H31" s="3">
        <v>0</v>
      </c>
      <c r="I31" s="3">
        <v>5</v>
      </c>
      <c r="J31" s="3">
        <v>4440</v>
      </c>
      <c r="K31" s="3">
        <v>1</v>
      </c>
      <c r="L31" s="3">
        <v>60</v>
      </c>
      <c r="M31" s="11">
        <v>112241507</v>
      </c>
      <c r="N31" s="3">
        <v>8980</v>
      </c>
      <c r="O31" s="3">
        <v>16</v>
      </c>
      <c r="P31" s="11">
        <v>124</v>
      </c>
      <c r="Q31" s="3">
        <v>2.6</v>
      </c>
      <c r="R31" s="3">
        <v>4.4000000000000004</v>
      </c>
      <c r="S31" s="3">
        <v>99</v>
      </c>
      <c r="T31" s="3">
        <v>7</v>
      </c>
      <c r="U31" s="3" t="s">
        <v>23</v>
      </c>
      <c r="V31" s="11">
        <v>70</v>
      </c>
      <c r="W31" s="3" t="s">
        <v>21</v>
      </c>
    </row>
    <row r="32" spans="1:23" s="3" customFormat="1" x14ac:dyDescent="0.3">
      <c r="A32" s="3" t="s">
        <v>45</v>
      </c>
      <c r="B32" s="3" t="s">
        <v>18</v>
      </c>
      <c r="C32" s="3">
        <v>6.36</v>
      </c>
      <c r="D32" s="3">
        <v>53</v>
      </c>
      <c r="E32" s="3">
        <v>511</v>
      </c>
      <c r="F32" s="3">
        <v>114</v>
      </c>
      <c r="G32" s="3">
        <v>1</v>
      </c>
      <c r="H32" s="3">
        <v>10</v>
      </c>
      <c r="I32" s="3">
        <v>162</v>
      </c>
      <c r="J32" s="3">
        <v>28913</v>
      </c>
      <c r="K32" s="3">
        <v>3</v>
      </c>
      <c r="L32" s="3">
        <v>124</v>
      </c>
      <c r="M32" s="11">
        <v>34969394</v>
      </c>
      <c r="N32" s="3">
        <v>246781</v>
      </c>
      <c r="O32" s="3">
        <v>8</v>
      </c>
      <c r="P32" s="11"/>
      <c r="Q32" s="3">
        <v>46.2</v>
      </c>
      <c r="R32" s="3">
        <v>11.4</v>
      </c>
      <c r="S32" s="3">
        <v>0</v>
      </c>
      <c r="T32" s="3">
        <v>0</v>
      </c>
      <c r="U32" s="3" t="s">
        <v>23</v>
      </c>
      <c r="V32" s="11">
        <v>27</v>
      </c>
      <c r="W32" s="3" t="s">
        <v>40</v>
      </c>
    </row>
    <row r="33" spans="1:26" s="3" customFormat="1" x14ac:dyDescent="0.3">
      <c r="A33" s="3" t="s">
        <v>45</v>
      </c>
      <c r="B33" s="3" t="s">
        <v>19</v>
      </c>
      <c r="C33" s="3">
        <v>6.07</v>
      </c>
      <c r="D33" s="3">
        <v>53</v>
      </c>
      <c r="E33" s="3">
        <v>511</v>
      </c>
      <c r="F33" s="3">
        <v>114</v>
      </c>
      <c r="G33" s="3">
        <v>1</v>
      </c>
      <c r="H33" s="3">
        <v>10</v>
      </c>
      <c r="I33" s="3">
        <v>162</v>
      </c>
      <c r="J33" s="3">
        <v>29008</v>
      </c>
      <c r="K33" s="3">
        <v>3</v>
      </c>
      <c r="L33" s="3">
        <v>124</v>
      </c>
      <c r="M33" s="11">
        <v>35468335</v>
      </c>
      <c r="N33" s="3">
        <v>105277</v>
      </c>
      <c r="O33" s="3">
        <v>8</v>
      </c>
      <c r="P33" s="11"/>
      <c r="Q33" s="3">
        <v>49</v>
      </c>
      <c r="R33" s="3">
        <v>20.3</v>
      </c>
      <c r="S33" s="3">
        <v>0</v>
      </c>
      <c r="T33" s="3">
        <v>0</v>
      </c>
      <c r="U33" s="3" t="s">
        <v>23</v>
      </c>
      <c r="V33" s="11">
        <v>28</v>
      </c>
      <c r="W33" s="3" t="s">
        <v>40</v>
      </c>
    </row>
    <row r="34" spans="1:26" s="3" customFormat="1" x14ac:dyDescent="0.3">
      <c r="A34" s="3" t="s">
        <v>45</v>
      </c>
      <c r="B34" s="3" t="s">
        <v>16</v>
      </c>
      <c r="C34" s="3">
        <v>157</v>
      </c>
      <c r="D34" s="3">
        <v>53</v>
      </c>
      <c r="E34" s="3">
        <v>511</v>
      </c>
      <c r="F34" s="3">
        <v>114</v>
      </c>
      <c r="G34" s="3">
        <v>1</v>
      </c>
      <c r="H34" s="3">
        <v>10</v>
      </c>
      <c r="I34" s="3">
        <v>162</v>
      </c>
      <c r="J34" s="4">
        <v>1513607</v>
      </c>
      <c r="K34" s="3">
        <v>3</v>
      </c>
      <c r="L34" s="3">
        <v>124</v>
      </c>
      <c r="M34" s="11" t="s">
        <v>49</v>
      </c>
      <c r="N34" s="3" t="s">
        <v>50</v>
      </c>
      <c r="O34" s="3">
        <v>8</v>
      </c>
      <c r="P34" s="11"/>
      <c r="Q34" s="3">
        <v>46.7</v>
      </c>
      <c r="R34" s="3">
        <v>19.2</v>
      </c>
      <c r="S34" s="3">
        <v>0</v>
      </c>
      <c r="T34" s="3">
        <v>0</v>
      </c>
      <c r="U34" s="3" t="s">
        <v>23</v>
      </c>
      <c r="V34" s="11">
        <v>27</v>
      </c>
      <c r="W34" s="3" t="s">
        <v>40</v>
      </c>
    </row>
    <row r="35" spans="1:26" s="3" customFormat="1" x14ac:dyDescent="0.3">
      <c r="A35" s="3" t="s">
        <v>45</v>
      </c>
      <c r="B35" s="3" t="s">
        <v>17</v>
      </c>
      <c r="C35" s="3">
        <v>156</v>
      </c>
      <c r="D35" s="3">
        <v>53</v>
      </c>
      <c r="E35" s="3">
        <v>511</v>
      </c>
      <c r="F35" s="3">
        <v>114</v>
      </c>
      <c r="G35" s="3">
        <v>1</v>
      </c>
      <c r="H35" s="3">
        <v>10</v>
      </c>
      <c r="I35" s="3">
        <v>162</v>
      </c>
      <c r="J35" s="4">
        <v>1573077</v>
      </c>
      <c r="K35" s="3">
        <v>3</v>
      </c>
      <c r="L35" s="3">
        <v>124</v>
      </c>
      <c r="M35" s="11" t="s">
        <v>49</v>
      </c>
      <c r="N35" s="3" t="s">
        <v>49</v>
      </c>
      <c r="O35" s="3">
        <v>8</v>
      </c>
      <c r="P35" s="11"/>
      <c r="Q35" s="3">
        <v>47.6</v>
      </c>
      <c r="R35" s="3">
        <v>27.4</v>
      </c>
      <c r="S35" s="3">
        <v>0</v>
      </c>
      <c r="T35" s="3">
        <v>0</v>
      </c>
      <c r="U35" s="3" t="s">
        <v>23</v>
      </c>
      <c r="V35" s="11">
        <v>28</v>
      </c>
      <c r="W35" s="3" t="s">
        <v>40</v>
      </c>
      <c r="X35" s="4">
        <v>1931035</v>
      </c>
    </row>
    <row r="36" spans="1:26" s="3" customFormat="1" x14ac:dyDescent="0.3">
      <c r="A36" s="3" t="s">
        <v>10</v>
      </c>
      <c r="B36" s="3" t="s">
        <v>16</v>
      </c>
      <c r="C36" s="3">
        <v>157</v>
      </c>
      <c r="D36" s="3">
        <v>44</v>
      </c>
      <c r="E36" s="3">
        <v>467</v>
      </c>
      <c r="F36" s="3">
        <v>106</v>
      </c>
      <c r="G36" s="3">
        <v>0</v>
      </c>
      <c r="H36" s="3">
        <v>9</v>
      </c>
      <c r="I36" s="3">
        <v>150</v>
      </c>
      <c r="J36" s="4">
        <v>1376552</v>
      </c>
      <c r="K36" s="3">
        <v>1</v>
      </c>
      <c r="L36" s="3">
        <v>108</v>
      </c>
      <c r="M36" s="11" t="s">
        <v>49</v>
      </c>
      <c r="N36" s="3" t="s">
        <v>49</v>
      </c>
      <c r="O36" s="3">
        <v>8</v>
      </c>
      <c r="P36" s="11"/>
      <c r="Q36" s="3">
        <v>51.4</v>
      </c>
      <c r="R36" s="3">
        <v>9.6</v>
      </c>
      <c r="S36" s="3">
        <v>0</v>
      </c>
      <c r="T36" s="3">
        <v>0</v>
      </c>
      <c r="V36" s="11">
        <v>28</v>
      </c>
      <c r="W36" s="3" t="s">
        <v>47</v>
      </c>
      <c r="X36" s="4">
        <v>1376552</v>
      </c>
    </row>
    <row r="37" spans="1:26" x14ac:dyDescent="0.3">
      <c r="A37" t="s">
        <v>10</v>
      </c>
      <c r="B37" t="s">
        <v>17</v>
      </c>
      <c r="C37">
        <v>156</v>
      </c>
      <c r="D37" s="3">
        <v>44</v>
      </c>
      <c r="E37" s="3">
        <v>467</v>
      </c>
      <c r="F37" s="3">
        <v>106</v>
      </c>
      <c r="G37" s="3">
        <v>0</v>
      </c>
      <c r="H37" s="3">
        <v>9</v>
      </c>
      <c r="I37" s="3">
        <v>150</v>
      </c>
      <c r="J37">
        <v>1101600</v>
      </c>
      <c r="K37">
        <v>1</v>
      </c>
      <c r="L37" s="3">
        <v>108</v>
      </c>
      <c r="M37" s="11" t="s">
        <v>49</v>
      </c>
      <c r="N37" s="3" t="s">
        <v>49</v>
      </c>
      <c r="O37" s="3">
        <v>8</v>
      </c>
      <c r="Q37">
        <v>51.5</v>
      </c>
      <c r="R37">
        <v>10.7</v>
      </c>
      <c r="S37">
        <v>0</v>
      </c>
      <c r="T37">
        <v>0</v>
      </c>
      <c r="U37" t="s">
        <v>23</v>
      </c>
      <c r="V37" s="11">
        <v>27</v>
      </c>
      <c r="W37" t="s">
        <v>40</v>
      </c>
      <c r="X37">
        <v>1101600</v>
      </c>
      <c r="Z37" t="s">
        <v>46</v>
      </c>
    </row>
    <row r="38" spans="1:26" s="3" customFormat="1" x14ac:dyDescent="0.3">
      <c r="A38" s="3" t="s">
        <v>10</v>
      </c>
      <c r="B38" s="3" t="s">
        <v>19</v>
      </c>
      <c r="C38" s="3">
        <v>6.36</v>
      </c>
      <c r="D38" s="3">
        <v>44</v>
      </c>
      <c r="E38" s="3">
        <v>467</v>
      </c>
      <c r="F38" s="3">
        <v>106</v>
      </c>
      <c r="G38" s="3">
        <v>0</v>
      </c>
      <c r="H38" s="3">
        <v>9</v>
      </c>
      <c r="I38" s="3">
        <v>150</v>
      </c>
      <c r="J38" s="4">
        <v>16226</v>
      </c>
      <c r="K38" s="3">
        <v>3</v>
      </c>
      <c r="L38" s="3">
        <v>108</v>
      </c>
      <c r="M38" s="11">
        <v>68594758</v>
      </c>
      <c r="N38" s="3">
        <v>404907</v>
      </c>
      <c r="O38" s="3">
        <v>8</v>
      </c>
      <c r="P38" s="11"/>
      <c r="Q38" s="3">
        <v>52.7</v>
      </c>
      <c r="R38" s="3">
        <v>12</v>
      </c>
      <c r="S38" s="3">
        <v>0</v>
      </c>
      <c r="T38" s="3">
        <v>0</v>
      </c>
      <c r="U38" s="3" t="s">
        <v>23</v>
      </c>
      <c r="V38" s="11">
        <v>27</v>
      </c>
      <c r="W38" s="3" t="s">
        <v>40</v>
      </c>
      <c r="X38" s="4">
        <v>55232</v>
      </c>
    </row>
    <row r="39" spans="1:26" s="3" customFormat="1" x14ac:dyDescent="0.3">
      <c r="A39" s="3" t="s">
        <v>10</v>
      </c>
      <c r="B39" s="3" t="s">
        <v>18</v>
      </c>
      <c r="C39" s="3">
        <v>6.07</v>
      </c>
      <c r="D39" s="3">
        <v>44</v>
      </c>
      <c r="E39" s="3">
        <v>467</v>
      </c>
      <c r="F39" s="3">
        <v>106</v>
      </c>
      <c r="G39" s="3">
        <v>0</v>
      </c>
      <c r="H39" s="3">
        <v>9</v>
      </c>
      <c r="I39" s="3">
        <v>150</v>
      </c>
      <c r="J39" s="4">
        <v>17449</v>
      </c>
      <c r="K39" s="3">
        <v>3</v>
      </c>
      <c r="L39" s="3">
        <v>108</v>
      </c>
      <c r="M39" s="11">
        <v>68880945</v>
      </c>
      <c r="N39" s="3">
        <v>382789</v>
      </c>
      <c r="O39" s="3">
        <v>8</v>
      </c>
      <c r="P39" s="11"/>
      <c r="Q39" s="3">
        <v>49.7</v>
      </c>
      <c r="R39" s="3">
        <v>12.6</v>
      </c>
      <c r="S39" s="3">
        <v>0</v>
      </c>
      <c r="T39" s="3">
        <v>0</v>
      </c>
      <c r="U39" s="3" t="s">
        <v>23</v>
      </c>
      <c r="V39" s="11">
        <v>27</v>
      </c>
      <c r="W39" s="3" t="s">
        <v>40</v>
      </c>
      <c r="X39" s="4">
        <v>28085</v>
      </c>
    </row>
    <row r="40" spans="1:26" x14ac:dyDescent="0.3">
      <c r="A40" t="s">
        <v>9</v>
      </c>
      <c r="B40" t="s">
        <v>31</v>
      </c>
      <c r="C40">
        <v>51.7</v>
      </c>
      <c r="D40" s="3">
        <v>6</v>
      </c>
      <c r="E40" s="3">
        <v>265</v>
      </c>
      <c r="F40" s="3">
        <v>90</v>
      </c>
      <c r="G40" s="3">
        <v>9</v>
      </c>
      <c r="H40" s="3">
        <v>6</v>
      </c>
      <c r="I40" s="3">
        <v>133</v>
      </c>
      <c r="J40" s="2">
        <v>15.612</v>
      </c>
      <c r="K40">
        <v>1</v>
      </c>
      <c r="L40" s="3">
        <v>144</v>
      </c>
      <c r="M40" s="11">
        <v>1594642</v>
      </c>
      <c r="N40">
        <v>453</v>
      </c>
      <c r="O40" s="3">
        <v>100</v>
      </c>
      <c r="Q40">
        <v>48.7</v>
      </c>
      <c r="R40">
        <v>7</v>
      </c>
      <c r="S40">
        <v>0</v>
      </c>
      <c r="T40">
        <v>0</v>
      </c>
      <c r="U40" t="s">
        <v>23</v>
      </c>
      <c r="V40" s="11">
        <v>28</v>
      </c>
      <c r="W40" t="s">
        <v>40</v>
      </c>
      <c r="X40" t="s">
        <v>51</v>
      </c>
    </row>
    <row r="41" spans="1:26" x14ac:dyDescent="0.3">
      <c r="A41" t="s">
        <v>9</v>
      </c>
      <c r="B41" t="s">
        <v>32</v>
      </c>
      <c r="C41">
        <v>101.5</v>
      </c>
      <c r="D41" s="3">
        <v>6</v>
      </c>
      <c r="E41" s="3">
        <v>265</v>
      </c>
      <c r="F41" s="3">
        <v>90</v>
      </c>
      <c r="G41" s="3">
        <v>9</v>
      </c>
      <c r="H41" s="3">
        <v>6</v>
      </c>
      <c r="I41" s="3">
        <v>133</v>
      </c>
      <c r="J41" s="2">
        <v>23.986000000000001</v>
      </c>
      <c r="K41">
        <v>1</v>
      </c>
      <c r="L41" s="3">
        <v>144</v>
      </c>
      <c r="M41" s="11">
        <v>1593070</v>
      </c>
      <c r="N41">
        <v>453</v>
      </c>
      <c r="O41" s="3">
        <v>100</v>
      </c>
      <c r="Q41">
        <v>47.8</v>
      </c>
      <c r="R41">
        <v>9</v>
      </c>
      <c r="S41">
        <v>0</v>
      </c>
      <c r="T41">
        <v>0</v>
      </c>
      <c r="U41" t="s">
        <v>23</v>
      </c>
      <c r="V41" s="11">
        <v>27</v>
      </c>
      <c r="W41" t="s">
        <v>40</v>
      </c>
    </row>
    <row r="42" spans="1:26" x14ac:dyDescent="0.3">
      <c r="A42" t="s">
        <v>9</v>
      </c>
      <c r="B42" t="s">
        <v>33</v>
      </c>
      <c r="C42">
        <v>150.9</v>
      </c>
      <c r="D42" s="3">
        <v>6</v>
      </c>
      <c r="E42" s="3">
        <v>265</v>
      </c>
      <c r="F42" s="3">
        <v>90</v>
      </c>
      <c r="G42" s="3">
        <v>9</v>
      </c>
      <c r="H42" s="3">
        <v>6</v>
      </c>
      <c r="I42" s="3">
        <v>133</v>
      </c>
      <c r="J42" s="2">
        <v>29</v>
      </c>
      <c r="K42">
        <v>1</v>
      </c>
      <c r="L42" s="3">
        <v>144</v>
      </c>
      <c r="M42" s="11">
        <v>1593214</v>
      </c>
      <c r="N42">
        <v>453</v>
      </c>
      <c r="O42" s="3">
        <v>100</v>
      </c>
      <c r="Q42">
        <v>47.3</v>
      </c>
      <c r="R42">
        <v>11.9</v>
      </c>
      <c r="S42">
        <v>0</v>
      </c>
      <c r="T42">
        <v>0</v>
      </c>
      <c r="U42" t="s">
        <v>23</v>
      </c>
      <c r="V42" s="11">
        <v>28</v>
      </c>
      <c r="W42" t="s">
        <v>40</v>
      </c>
    </row>
    <row r="43" spans="1:26" x14ac:dyDescent="0.3">
      <c r="A43" t="s">
        <v>9</v>
      </c>
      <c r="B43" t="s">
        <v>34</v>
      </c>
      <c r="C43">
        <v>201.5</v>
      </c>
      <c r="D43" s="3">
        <v>6</v>
      </c>
      <c r="E43" s="3">
        <v>265</v>
      </c>
      <c r="F43" s="3">
        <v>90</v>
      </c>
      <c r="G43" s="3">
        <v>9</v>
      </c>
      <c r="H43" s="3">
        <v>6</v>
      </c>
      <c r="I43" s="3">
        <v>133</v>
      </c>
      <c r="J43">
        <v>37.838000000000001</v>
      </c>
      <c r="K43">
        <v>1</v>
      </c>
      <c r="L43" s="3">
        <v>144</v>
      </c>
      <c r="M43" s="11">
        <v>1594123</v>
      </c>
      <c r="N43">
        <v>453</v>
      </c>
      <c r="O43" s="3">
        <v>100</v>
      </c>
      <c r="Q43">
        <v>51.7</v>
      </c>
      <c r="R43">
        <v>15.1</v>
      </c>
      <c r="S43">
        <v>0</v>
      </c>
      <c r="T43">
        <v>0</v>
      </c>
      <c r="U43" t="s">
        <v>23</v>
      </c>
      <c r="V43" s="11">
        <v>28</v>
      </c>
      <c r="W43" t="s">
        <v>40</v>
      </c>
    </row>
    <row r="44" spans="1:26" x14ac:dyDescent="0.3">
      <c r="A44" t="s">
        <v>37</v>
      </c>
      <c r="B44" t="s">
        <v>31</v>
      </c>
      <c r="C44">
        <v>51.7</v>
      </c>
      <c r="D44" s="3">
        <v>6</v>
      </c>
      <c r="E44" s="3">
        <v>265</v>
      </c>
      <c r="F44" s="3">
        <v>90</v>
      </c>
      <c r="G44" s="3">
        <v>9</v>
      </c>
      <c r="H44" s="3">
        <v>6</v>
      </c>
      <c r="I44" s="3">
        <v>133</v>
      </c>
      <c r="J44" s="2">
        <v>12.647</v>
      </c>
      <c r="K44">
        <v>1</v>
      </c>
      <c r="L44" s="3">
        <v>133</v>
      </c>
      <c r="M44" s="11">
        <v>1583386</v>
      </c>
      <c r="N44">
        <v>323</v>
      </c>
      <c r="O44" s="3">
        <v>100</v>
      </c>
      <c r="Q44">
        <v>47.9</v>
      </c>
      <c r="R44">
        <v>7.7</v>
      </c>
      <c r="S44">
        <v>0</v>
      </c>
      <c r="T44">
        <v>0</v>
      </c>
      <c r="U44" t="s">
        <v>23</v>
      </c>
      <c r="V44" s="11">
        <v>27</v>
      </c>
      <c r="W44" t="s">
        <v>40</v>
      </c>
    </row>
    <row r="45" spans="1:26" x14ac:dyDescent="0.3">
      <c r="A45" t="s">
        <v>37</v>
      </c>
      <c r="B45" t="s">
        <v>32</v>
      </c>
      <c r="C45">
        <v>101.5</v>
      </c>
      <c r="D45" s="3">
        <v>6</v>
      </c>
      <c r="E45" s="3">
        <v>265</v>
      </c>
      <c r="F45" s="3">
        <v>90</v>
      </c>
      <c r="G45" s="3">
        <v>9</v>
      </c>
      <c r="H45" s="3">
        <v>6</v>
      </c>
      <c r="I45" s="3">
        <v>133</v>
      </c>
      <c r="J45" s="2">
        <v>17.558</v>
      </c>
      <c r="K45">
        <v>1</v>
      </c>
      <c r="L45" s="3">
        <v>133</v>
      </c>
      <c r="M45" s="11">
        <v>1583142</v>
      </c>
      <c r="N45">
        <v>323</v>
      </c>
      <c r="O45" s="3">
        <v>100</v>
      </c>
      <c r="Q45">
        <v>48.3</v>
      </c>
      <c r="R45">
        <v>7.8</v>
      </c>
      <c r="S45">
        <v>0</v>
      </c>
      <c r="T45">
        <v>0</v>
      </c>
      <c r="U45" t="s">
        <v>23</v>
      </c>
      <c r="V45" s="11">
        <v>27</v>
      </c>
      <c r="W45" t="s">
        <v>40</v>
      </c>
    </row>
    <row r="46" spans="1:26" x14ac:dyDescent="0.3">
      <c r="A46" t="s">
        <v>37</v>
      </c>
      <c r="B46" t="s">
        <v>33</v>
      </c>
      <c r="C46">
        <v>150.9</v>
      </c>
      <c r="D46" s="3">
        <v>6</v>
      </c>
      <c r="E46" s="3">
        <v>265</v>
      </c>
      <c r="F46" s="3">
        <v>90</v>
      </c>
      <c r="G46" s="3">
        <v>9</v>
      </c>
      <c r="H46" s="3">
        <v>6</v>
      </c>
      <c r="I46" s="3">
        <v>133</v>
      </c>
      <c r="J46" s="2">
        <v>22.645</v>
      </c>
      <c r="K46">
        <v>1</v>
      </c>
      <c r="L46" s="3">
        <v>133</v>
      </c>
      <c r="M46" s="11">
        <v>1582805</v>
      </c>
      <c r="N46">
        <v>323</v>
      </c>
      <c r="O46" s="3">
        <v>100</v>
      </c>
      <c r="Q46">
        <v>48.3</v>
      </c>
      <c r="R46">
        <v>8.1</v>
      </c>
      <c r="S46">
        <v>0</v>
      </c>
      <c r="T46">
        <v>0</v>
      </c>
      <c r="U46" t="s">
        <v>23</v>
      </c>
      <c r="V46" s="11">
        <v>27</v>
      </c>
      <c r="W46" t="s">
        <v>40</v>
      </c>
    </row>
    <row r="47" spans="1:26" x14ac:dyDescent="0.3">
      <c r="A47" t="s">
        <v>37</v>
      </c>
      <c r="B47" t="s">
        <v>34</v>
      </c>
      <c r="C47">
        <v>201.5</v>
      </c>
      <c r="D47" s="3">
        <v>6</v>
      </c>
      <c r="E47" s="3">
        <v>265</v>
      </c>
      <c r="F47" s="3">
        <v>90</v>
      </c>
      <c r="G47" s="3">
        <v>9</v>
      </c>
      <c r="H47" s="3">
        <v>6</v>
      </c>
      <c r="I47" s="3">
        <v>133</v>
      </c>
      <c r="J47" s="2">
        <v>27.497</v>
      </c>
      <c r="K47">
        <v>1</v>
      </c>
      <c r="L47" s="3">
        <v>133</v>
      </c>
      <c r="M47" s="11">
        <v>1583249</v>
      </c>
      <c r="N47">
        <v>323</v>
      </c>
      <c r="O47" s="3">
        <v>100</v>
      </c>
      <c r="Q47">
        <v>47.2</v>
      </c>
      <c r="R47">
        <v>8.3000000000000007</v>
      </c>
      <c r="S47">
        <v>0</v>
      </c>
      <c r="T47">
        <v>0</v>
      </c>
      <c r="U47" t="s">
        <v>23</v>
      </c>
      <c r="V47" s="11">
        <v>28</v>
      </c>
      <c r="W47" t="s">
        <v>40</v>
      </c>
    </row>
    <row r="48" spans="1:26" x14ac:dyDescent="0.3">
      <c r="A48" t="s">
        <v>38</v>
      </c>
      <c r="B48" t="s">
        <v>31</v>
      </c>
      <c r="C48">
        <v>51.7</v>
      </c>
      <c r="D48" s="3">
        <v>6</v>
      </c>
      <c r="E48" s="3">
        <v>265</v>
      </c>
      <c r="F48" s="3">
        <v>90</v>
      </c>
      <c r="G48" s="3">
        <v>9</v>
      </c>
      <c r="H48" s="3">
        <v>6</v>
      </c>
      <c r="I48" s="3">
        <v>133</v>
      </c>
      <c r="J48" s="2">
        <v>14.698</v>
      </c>
      <c r="K48">
        <v>1</v>
      </c>
      <c r="L48" s="3">
        <v>138</v>
      </c>
      <c r="M48" s="11">
        <v>1588693</v>
      </c>
      <c r="N48">
        <v>390</v>
      </c>
      <c r="O48" s="3">
        <v>100</v>
      </c>
      <c r="Q48">
        <v>53</v>
      </c>
      <c r="R48">
        <v>9.9</v>
      </c>
      <c r="S48">
        <v>0</v>
      </c>
      <c r="T48">
        <v>0</v>
      </c>
      <c r="U48" t="s">
        <v>23</v>
      </c>
      <c r="V48" s="11">
        <v>27</v>
      </c>
      <c r="W48" t="s">
        <v>40</v>
      </c>
    </row>
    <row r="49" spans="1:23" x14ac:dyDescent="0.3">
      <c r="A49" t="s">
        <v>38</v>
      </c>
      <c r="B49" t="s">
        <v>32</v>
      </c>
      <c r="C49">
        <v>101.5</v>
      </c>
      <c r="D49" s="3">
        <v>6</v>
      </c>
      <c r="E49" s="3">
        <v>265</v>
      </c>
      <c r="F49" s="3">
        <v>90</v>
      </c>
      <c r="G49" s="3">
        <v>9</v>
      </c>
      <c r="H49" s="3">
        <v>6</v>
      </c>
      <c r="I49" s="3">
        <v>133</v>
      </c>
      <c r="J49" s="2">
        <v>20.736999999999998</v>
      </c>
      <c r="K49">
        <v>1</v>
      </c>
      <c r="L49" s="3">
        <v>138</v>
      </c>
      <c r="M49" s="11">
        <v>1590858</v>
      </c>
      <c r="N49">
        <v>390</v>
      </c>
      <c r="O49" s="3">
        <v>100</v>
      </c>
      <c r="Q49">
        <v>49.7</v>
      </c>
      <c r="R49">
        <v>10.199999999999999</v>
      </c>
      <c r="S49">
        <v>0</v>
      </c>
      <c r="T49">
        <v>0</v>
      </c>
      <c r="U49" t="s">
        <v>23</v>
      </c>
      <c r="V49" s="11">
        <v>28</v>
      </c>
      <c r="W49" t="s">
        <v>40</v>
      </c>
    </row>
    <row r="50" spans="1:23" x14ac:dyDescent="0.3">
      <c r="A50" t="s">
        <v>38</v>
      </c>
      <c r="B50" t="s">
        <v>33</v>
      </c>
      <c r="D50" s="3">
        <v>6</v>
      </c>
      <c r="E50" s="3">
        <v>265</v>
      </c>
      <c r="F50" s="3">
        <v>90</v>
      </c>
      <c r="G50" s="3">
        <v>9</v>
      </c>
      <c r="H50" s="3">
        <v>6</v>
      </c>
      <c r="I50" s="3">
        <v>133</v>
      </c>
      <c r="J50" s="2">
        <v>25.707000000000001</v>
      </c>
      <c r="K50">
        <v>1</v>
      </c>
      <c r="L50" s="3">
        <v>138</v>
      </c>
      <c r="M50" s="11">
        <v>1587750</v>
      </c>
      <c r="N50">
        <v>390</v>
      </c>
      <c r="O50" s="3">
        <v>100</v>
      </c>
      <c r="Q50">
        <v>47.4</v>
      </c>
      <c r="R50">
        <v>8.6</v>
      </c>
      <c r="S50">
        <v>0</v>
      </c>
      <c r="T50">
        <v>0</v>
      </c>
      <c r="U50" t="s">
        <v>23</v>
      </c>
      <c r="V50" s="11">
        <v>28</v>
      </c>
      <c r="W50" t="s">
        <v>40</v>
      </c>
    </row>
    <row r="51" spans="1:23" x14ac:dyDescent="0.3">
      <c r="A51" t="s">
        <v>38</v>
      </c>
      <c r="B51" t="s">
        <v>34</v>
      </c>
      <c r="C51">
        <v>201.5</v>
      </c>
      <c r="D51" s="3">
        <v>6</v>
      </c>
      <c r="E51" s="3">
        <v>265</v>
      </c>
      <c r="F51" s="3">
        <v>90</v>
      </c>
      <c r="G51" s="3">
        <v>9</v>
      </c>
      <c r="H51" s="3">
        <v>6</v>
      </c>
      <c r="I51" s="3">
        <v>133</v>
      </c>
      <c r="J51" s="2">
        <v>31.96</v>
      </c>
      <c r="K51">
        <v>1</v>
      </c>
      <c r="L51" s="3">
        <v>138</v>
      </c>
      <c r="M51" s="11">
        <v>1588646</v>
      </c>
      <c r="N51">
        <v>390</v>
      </c>
      <c r="O51" s="3">
        <v>100</v>
      </c>
      <c r="Q51">
        <v>46.7</v>
      </c>
      <c r="R51">
        <v>9.6</v>
      </c>
      <c r="S51">
        <v>0</v>
      </c>
      <c r="T51">
        <v>0</v>
      </c>
      <c r="U51" t="s">
        <v>23</v>
      </c>
      <c r="V51" s="11">
        <v>27</v>
      </c>
      <c r="W51" t="s">
        <v>40</v>
      </c>
    </row>
    <row r="52" spans="1:23" x14ac:dyDescent="0.3">
      <c r="A52" t="s">
        <v>39</v>
      </c>
      <c r="B52" t="s">
        <v>31</v>
      </c>
      <c r="C52">
        <v>51.7</v>
      </c>
      <c r="D52" s="3">
        <v>6</v>
      </c>
      <c r="E52" s="3">
        <v>265</v>
      </c>
      <c r="F52" s="3">
        <v>90</v>
      </c>
      <c r="G52" s="3">
        <v>9</v>
      </c>
      <c r="H52" s="3">
        <v>6</v>
      </c>
      <c r="I52" s="3">
        <v>133</v>
      </c>
      <c r="J52" s="2">
        <v>8.4429999999999996</v>
      </c>
      <c r="K52">
        <v>1</v>
      </c>
      <c r="L52" s="3">
        <v>132</v>
      </c>
      <c r="M52" s="11">
        <v>1578602</v>
      </c>
      <c r="N52">
        <v>285</v>
      </c>
      <c r="O52" s="3">
        <v>100</v>
      </c>
      <c r="Q52">
        <v>47.5</v>
      </c>
      <c r="R52">
        <v>9.3000000000000007</v>
      </c>
      <c r="S52">
        <v>0</v>
      </c>
      <c r="T52">
        <v>0</v>
      </c>
      <c r="U52" t="s">
        <v>23</v>
      </c>
      <c r="V52" s="11">
        <v>27</v>
      </c>
      <c r="W52" t="s">
        <v>40</v>
      </c>
    </row>
    <row r="53" spans="1:23" x14ac:dyDescent="0.3">
      <c r="A53" t="s">
        <v>39</v>
      </c>
      <c r="B53" t="s">
        <v>32</v>
      </c>
      <c r="C53">
        <v>101.5</v>
      </c>
      <c r="D53" s="3">
        <v>6</v>
      </c>
      <c r="E53" s="3">
        <v>265</v>
      </c>
      <c r="F53" s="3">
        <v>90</v>
      </c>
      <c r="G53" s="3">
        <v>9</v>
      </c>
      <c r="H53" s="3">
        <v>6</v>
      </c>
      <c r="I53" s="3">
        <v>133</v>
      </c>
      <c r="J53" s="2">
        <v>11.342000000000001</v>
      </c>
      <c r="K53">
        <v>1</v>
      </c>
      <c r="L53" s="3">
        <v>132</v>
      </c>
      <c r="M53" s="11">
        <v>1578975</v>
      </c>
      <c r="N53">
        <v>285</v>
      </c>
      <c r="O53" s="3">
        <v>100</v>
      </c>
      <c r="Q53">
        <v>46.2</v>
      </c>
      <c r="R53">
        <v>8.1999999999999993</v>
      </c>
      <c r="S53">
        <v>0</v>
      </c>
      <c r="T53">
        <v>0</v>
      </c>
      <c r="U53" t="s">
        <v>23</v>
      </c>
      <c r="V53" s="11">
        <v>27</v>
      </c>
      <c r="W53" t="s">
        <v>40</v>
      </c>
    </row>
    <row r="54" spans="1:23" x14ac:dyDescent="0.3">
      <c r="A54" t="s">
        <v>39</v>
      </c>
      <c r="B54" t="s">
        <v>33</v>
      </c>
      <c r="C54">
        <v>150.9</v>
      </c>
      <c r="D54" s="3">
        <v>6</v>
      </c>
      <c r="E54" s="3">
        <v>265</v>
      </c>
      <c r="F54" s="3">
        <v>90</v>
      </c>
      <c r="G54" s="3">
        <v>9</v>
      </c>
      <c r="H54" s="3">
        <v>6</v>
      </c>
      <c r="I54" s="3">
        <v>133</v>
      </c>
      <c r="J54" s="2">
        <v>14</v>
      </c>
      <c r="K54">
        <v>1</v>
      </c>
      <c r="L54" s="3">
        <v>132</v>
      </c>
      <c r="M54" s="11">
        <v>1579140</v>
      </c>
      <c r="N54">
        <v>285</v>
      </c>
      <c r="O54" s="3">
        <v>100</v>
      </c>
      <c r="Q54">
        <v>47.7</v>
      </c>
      <c r="R54">
        <v>11.9</v>
      </c>
      <c r="S54">
        <v>0</v>
      </c>
      <c r="T54">
        <v>0</v>
      </c>
      <c r="U54" t="s">
        <v>23</v>
      </c>
      <c r="V54" s="11">
        <v>28</v>
      </c>
      <c r="W54" t="s">
        <v>40</v>
      </c>
    </row>
    <row r="55" spans="1:23" x14ac:dyDescent="0.3">
      <c r="A55" t="s">
        <v>39</v>
      </c>
      <c r="B55" t="s">
        <v>34</v>
      </c>
      <c r="C55">
        <v>201.5</v>
      </c>
      <c r="D55" s="3">
        <v>6</v>
      </c>
      <c r="E55" s="3">
        <v>265</v>
      </c>
      <c r="F55" s="3">
        <v>90</v>
      </c>
      <c r="G55" s="3">
        <v>9</v>
      </c>
      <c r="H55" s="3">
        <v>6</v>
      </c>
      <c r="I55" s="3">
        <v>133</v>
      </c>
      <c r="J55" s="2">
        <v>18</v>
      </c>
      <c r="K55">
        <v>1</v>
      </c>
      <c r="L55" s="3">
        <v>132</v>
      </c>
      <c r="M55" s="11">
        <v>1579206</v>
      </c>
      <c r="N55">
        <v>285</v>
      </c>
      <c r="O55" s="3">
        <v>100</v>
      </c>
      <c r="Q55">
        <v>49.3</v>
      </c>
      <c r="R55">
        <v>15.9</v>
      </c>
      <c r="S55">
        <v>0</v>
      </c>
      <c r="T55">
        <v>0</v>
      </c>
      <c r="U55" t="s">
        <v>23</v>
      </c>
      <c r="V55" s="11">
        <v>28</v>
      </c>
      <c r="W55" t="s">
        <v>40</v>
      </c>
    </row>
    <row r="56" spans="1:23" s="3" customFormat="1" x14ac:dyDescent="0.3">
      <c r="A56" s="3" t="s">
        <v>15</v>
      </c>
      <c r="B56" s="3" t="s">
        <v>44</v>
      </c>
      <c r="C56" s="3">
        <v>103</v>
      </c>
      <c r="D56" s="3">
        <v>2</v>
      </c>
      <c r="E56" s="3">
        <v>12</v>
      </c>
      <c r="F56" s="3">
        <v>5</v>
      </c>
      <c r="G56" s="3">
        <v>0</v>
      </c>
      <c r="H56" s="3">
        <v>0</v>
      </c>
      <c r="I56" s="3">
        <v>5</v>
      </c>
      <c r="J56" s="4">
        <v>810</v>
      </c>
      <c r="K56" s="3">
        <v>1</v>
      </c>
      <c r="L56" s="3">
        <v>60</v>
      </c>
      <c r="M56" s="11">
        <v>78154098</v>
      </c>
      <c r="N56">
        <v>902157</v>
      </c>
      <c r="O56" s="3">
        <v>16</v>
      </c>
      <c r="P56" s="11"/>
      <c r="Q56" s="3">
        <v>49.4</v>
      </c>
      <c r="R56" s="3">
        <v>3.9</v>
      </c>
      <c r="S56" s="3">
        <v>0</v>
      </c>
      <c r="T56" s="3">
        <v>0</v>
      </c>
      <c r="U56" s="3" t="s">
        <v>23</v>
      </c>
      <c r="V56" s="11">
        <v>28</v>
      </c>
      <c r="W56" s="3" t="s">
        <v>40</v>
      </c>
    </row>
    <row r="57" spans="1:23" s="3" customFormat="1" x14ac:dyDescent="0.3">
      <c r="A57" s="3" t="s">
        <v>15</v>
      </c>
      <c r="B57" s="3" t="s">
        <v>43</v>
      </c>
      <c r="C57" s="3">
        <v>36.799999999999997</v>
      </c>
      <c r="D57" s="3">
        <v>2</v>
      </c>
      <c r="E57" s="3">
        <v>12</v>
      </c>
      <c r="F57" s="3">
        <v>5</v>
      </c>
      <c r="G57" s="3">
        <v>0</v>
      </c>
      <c r="H57" s="3">
        <v>0</v>
      </c>
      <c r="I57" s="3">
        <v>5</v>
      </c>
      <c r="J57" s="4">
        <v>8497</v>
      </c>
      <c r="K57" s="3">
        <v>1</v>
      </c>
      <c r="L57" s="3">
        <v>60</v>
      </c>
      <c r="M57" s="11">
        <v>112241510</v>
      </c>
      <c r="N57" s="3">
        <v>1598717</v>
      </c>
      <c r="O57" s="3">
        <v>16</v>
      </c>
      <c r="P57" s="11"/>
      <c r="Q57" s="3">
        <v>50.4</v>
      </c>
      <c r="R57" s="3">
        <v>5</v>
      </c>
      <c r="S57" s="3">
        <v>0</v>
      </c>
      <c r="T57" s="3">
        <v>0</v>
      </c>
      <c r="U57" s="3" t="s">
        <v>23</v>
      </c>
      <c r="V57" s="11">
        <v>28</v>
      </c>
      <c r="W57" s="3" t="s">
        <v>40</v>
      </c>
    </row>
    <row r="58" spans="1:23" x14ac:dyDescent="0.3">
      <c r="A58" t="s">
        <v>11</v>
      </c>
      <c r="B58" t="s">
        <v>31</v>
      </c>
      <c r="C58">
        <v>51.7</v>
      </c>
      <c r="D58" s="3">
        <v>0</v>
      </c>
      <c r="E58" s="3">
        <v>19</v>
      </c>
      <c r="F58" s="3">
        <v>9</v>
      </c>
      <c r="G58" s="3">
        <v>0</v>
      </c>
      <c r="H58" s="3">
        <v>0</v>
      </c>
      <c r="I58" s="3">
        <v>16</v>
      </c>
      <c r="J58">
        <v>267.637</v>
      </c>
      <c r="K58">
        <v>1</v>
      </c>
      <c r="L58" s="3">
        <v>25.6</v>
      </c>
      <c r="M58" s="11">
        <v>7837135</v>
      </c>
      <c r="N58">
        <v>231861</v>
      </c>
      <c r="O58" s="3">
        <v>32</v>
      </c>
      <c r="Q58">
        <v>50.5</v>
      </c>
      <c r="R58">
        <v>3.1</v>
      </c>
      <c r="S58">
        <v>0</v>
      </c>
      <c r="T58">
        <v>0</v>
      </c>
      <c r="U58" t="s">
        <v>23</v>
      </c>
      <c r="V58" s="11">
        <v>26</v>
      </c>
      <c r="W58" t="s">
        <v>40</v>
      </c>
    </row>
    <row r="59" spans="1:23" x14ac:dyDescent="0.3">
      <c r="A59" t="s">
        <v>11</v>
      </c>
      <c r="B59" t="s">
        <v>32</v>
      </c>
      <c r="C59">
        <v>101.5</v>
      </c>
      <c r="D59" s="3">
        <v>0</v>
      </c>
      <c r="E59" s="3">
        <v>19</v>
      </c>
      <c r="F59" s="3">
        <v>9</v>
      </c>
      <c r="G59" s="3">
        <v>0</v>
      </c>
      <c r="H59" s="3">
        <v>0</v>
      </c>
      <c r="I59" s="3">
        <v>16</v>
      </c>
      <c r="J59">
        <v>401.387</v>
      </c>
      <c r="K59">
        <v>1</v>
      </c>
      <c r="L59" s="3">
        <v>25.6</v>
      </c>
      <c r="M59" s="11">
        <v>12048156</v>
      </c>
      <c r="N59">
        <v>427490</v>
      </c>
      <c r="O59" s="3">
        <v>32</v>
      </c>
      <c r="Q59">
        <v>50.4</v>
      </c>
      <c r="R59">
        <v>3.1</v>
      </c>
      <c r="S59">
        <v>0</v>
      </c>
      <c r="T59">
        <v>0</v>
      </c>
      <c r="U59" t="s">
        <v>23</v>
      </c>
      <c r="V59" s="11">
        <v>26</v>
      </c>
      <c r="W59" t="s">
        <v>40</v>
      </c>
    </row>
    <row r="60" spans="1:23" x14ac:dyDescent="0.3">
      <c r="A60" t="s">
        <v>11</v>
      </c>
      <c r="B60" t="s">
        <v>33</v>
      </c>
      <c r="C60">
        <v>150.9</v>
      </c>
      <c r="D60" s="3">
        <v>0</v>
      </c>
      <c r="E60" s="3">
        <v>19</v>
      </c>
      <c r="F60" s="3">
        <v>9</v>
      </c>
      <c r="G60" s="3">
        <v>0</v>
      </c>
      <c r="H60" s="3">
        <v>0</v>
      </c>
      <c r="I60" s="3">
        <v>16</v>
      </c>
      <c r="J60">
        <v>523.851</v>
      </c>
      <c r="K60">
        <v>1</v>
      </c>
      <c r="L60" s="3">
        <v>25.6</v>
      </c>
      <c r="M60" s="11">
        <v>16345064</v>
      </c>
      <c r="N60">
        <v>601425</v>
      </c>
      <c r="O60" s="3">
        <v>32</v>
      </c>
      <c r="Q60">
        <v>51.8</v>
      </c>
      <c r="R60">
        <v>2.9</v>
      </c>
      <c r="S60">
        <v>0</v>
      </c>
      <c r="T60">
        <v>0</v>
      </c>
      <c r="U60" t="s">
        <v>23</v>
      </c>
      <c r="V60" s="11">
        <v>26</v>
      </c>
      <c r="W60" t="s">
        <v>40</v>
      </c>
    </row>
    <row r="61" spans="1:23" x14ac:dyDescent="0.3">
      <c r="A61" t="s">
        <v>11</v>
      </c>
      <c r="B61" t="s">
        <v>34</v>
      </c>
      <c r="C61">
        <v>201.5</v>
      </c>
      <c r="D61" s="3">
        <v>0</v>
      </c>
      <c r="E61" s="3">
        <v>19</v>
      </c>
      <c r="F61" s="3">
        <v>9</v>
      </c>
      <c r="G61" s="3">
        <v>0</v>
      </c>
      <c r="H61" s="3">
        <v>0</v>
      </c>
      <c r="I61" s="3">
        <v>16</v>
      </c>
      <c r="J61">
        <v>761.40700000000004</v>
      </c>
      <c r="K61">
        <v>1</v>
      </c>
      <c r="L61" s="3">
        <v>25.6</v>
      </c>
      <c r="M61" s="11">
        <v>20556080</v>
      </c>
      <c r="N61">
        <v>961505</v>
      </c>
      <c r="O61" s="3">
        <v>32</v>
      </c>
      <c r="Q61">
        <v>53.1</v>
      </c>
      <c r="R61">
        <v>3.7</v>
      </c>
      <c r="S61">
        <v>0</v>
      </c>
      <c r="T61">
        <v>0</v>
      </c>
      <c r="U61" t="s">
        <v>23</v>
      </c>
      <c r="V61" s="11">
        <v>26</v>
      </c>
      <c r="W61" t="s">
        <v>40</v>
      </c>
    </row>
    <row r="62" spans="1:23" x14ac:dyDescent="0.3">
      <c r="A62" t="s">
        <v>10</v>
      </c>
      <c r="B62" t="s">
        <v>16</v>
      </c>
      <c r="C62">
        <v>157</v>
      </c>
      <c r="D62">
        <v>44</v>
      </c>
      <c r="E62">
        <v>467</v>
      </c>
      <c r="F62">
        <v>106</v>
      </c>
      <c r="G62">
        <v>0</v>
      </c>
      <c r="H62">
        <v>9</v>
      </c>
      <c r="I62">
        <v>150</v>
      </c>
      <c r="J62">
        <v>98188</v>
      </c>
      <c r="K62">
        <v>3</v>
      </c>
      <c r="L62">
        <v>108</v>
      </c>
      <c r="M62" s="11">
        <v>69142982</v>
      </c>
      <c r="N62">
        <v>409259</v>
      </c>
      <c r="O62" s="3">
        <v>8</v>
      </c>
      <c r="Q62">
        <v>4.2</v>
      </c>
      <c r="R62">
        <v>3.4</v>
      </c>
      <c r="S62">
        <v>53</v>
      </c>
      <c r="T62">
        <v>91</v>
      </c>
      <c r="U62" t="s">
        <v>23</v>
      </c>
      <c r="V62" s="11">
        <v>79</v>
      </c>
      <c r="W62" t="s">
        <v>63</v>
      </c>
    </row>
    <row r="63" spans="1:23" x14ac:dyDescent="0.3">
      <c r="A63" t="s">
        <v>10</v>
      </c>
      <c r="B63" t="s">
        <v>17</v>
      </c>
      <c r="C63">
        <v>156</v>
      </c>
      <c r="D63">
        <v>44</v>
      </c>
      <c r="E63">
        <v>467</v>
      </c>
      <c r="F63">
        <v>106</v>
      </c>
      <c r="G63">
        <v>0</v>
      </c>
      <c r="H63">
        <v>9</v>
      </c>
      <c r="I63">
        <v>150</v>
      </c>
      <c r="J63">
        <v>95125</v>
      </c>
      <c r="K63">
        <v>3</v>
      </c>
      <c r="L63">
        <v>108</v>
      </c>
      <c r="M63" s="11">
        <v>68142982</v>
      </c>
      <c r="N63">
        <v>407623</v>
      </c>
      <c r="O63" s="3">
        <v>8</v>
      </c>
      <c r="Q63">
        <v>4.5999999999999996</v>
      </c>
      <c r="R63">
        <v>3.8</v>
      </c>
      <c r="S63">
        <v>51</v>
      </c>
      <c r="T63">
        <v>98</v>
      </c>
      <c r="U63" t="s">
        <v>23</v>
      </c>
      <c r="V63" s="11">
        <v>65</v>
      </c>
      <c r="W63" t="s">
        <v>63</v>
      </c>
    </row>
    <row r="64" spans="1:23" x14ac:dyDescent="0.3">
      <c r="A64" t="s">
        <v>10</v>
      </c>
      <c r="B64" t="s">
        <v>18</v>
      </c>
      <c r="C64">
        <v>6.36</v>
      </c>
      <c r="D64">
        <v>44</v>
      </c>
      <c r="E64">
        <v>467</v>
      </c>
      <c r="F64">
        <v>106</v>
      </c>
      <c r="G64">
        <v>0</v>
      </c>
      <c r="H64">
        <v>9</v>
      </c>
      <c r="I64">
        <v>150</v>
      </c>
      <c r="J64">
        <v>1638</v>
      </c>
      <c r="K64">
        <v>3</v>
      </c>
      <c r="L64">
        <v>108</v>
      </c>
      <c r="M64" s="11">
        <v>69142982</v>
      </c>
      <c r="N64">
        <v>435327</v>
      </c>
      <c r="O64" s="3">
        <v>8</v>
      </c>
      <c r="Q64">
        <v>3.5</v>
      </c>
      <c r="R64">
        <v>2.4</v>
      </c>
      <c r="S64">
        <v>48</v>
      </c>
      <c r="T64">
        <v>100</v>
      </c>
      <c r="U64" t="s">
        <v>23</v>
      </c>
      <c r="V64" s="11">
        <v>55</v>
      </c>
      <c r="W64" t="s">
        <v>63</v>
      </c>
    </row>
    <row r="65" spans="1:23" x14ac:dyDescent="0.3">
      <c r="A65" s="3" t="s">
        <v>10</v>
      </c>
      <c r="B65" s="3" t="s">
        <v>19</v>
      </c>
      <c r="C65" s="3">
        <v>6.07</v>
      </c>
      <c r="D65">
        <v>44</v>
      </c>
      <c r="E65">
        <v>467</v>
      </c>
      <c r="F65">
        <v>106</v>
      </c>
      <c r="G65">
        <v>0</v>
      </c>
      <c r="H65">
        <v>9</v>
      </c>
      <c r="I65">
        <v>150</v>
      </c>
      <c r="J65" s="3">
        <v>1686</v>
      </c>
      <c r="K65" s="3">
        <v>3</v>
      </c>
      <c r="L65" s="3">
        <v>108</v>
      </c>
      <c r="M65" s="11">
        <v>68508766</v>
      </c>
      <c r="N65" s="3">
        <v>404917</v>
      </c>
      <c r="O65" s="3">
        <v>8</v>
      </c>
      <c r="Q65" s="3">
        <v>3.5</v>
      </c>
      <c r="R65" s="3">
        <v>2.6</v>
      </c>
      <c r="S65" s="3">
        <v>50</v>
      </c>
      <c r="T65" s="3">
        <v>100</v>
      </c>
      <c r="U65" s="3" t="s">
        <v>23</v>
      </c>
      <c r="V65" s="11">
        <v>49</v>
      </c>
      <c r="W65" t="s">
        <v>63</v>
      </c>
    </row>
    <row r="66" spans="1:23" s="3" customFormat="1" x14ac:dyDescent="0.3">
      <c r="A66" s="3" t="s">
        <v>12</v>
      </c>
      <c r="B66" s="3" t="s">
        <v>16</v>
      </c>
      <c r="C66" s="3">
        <v>157</v>
      </c>
      <c r="D66" s="3">
        <v>53</v>
      </c>
      <c r="E66" s="3">
        <v>511</v>
      </c>
      <c r="F66" s="3">
        <v>114</v>
      </c>
      <c r="G66" s="3">
        <v>1</v>
      </c>
      <c r="H66" s="3">
        <v>10</v>
      </c>
      <c r="I66" s="3">
        <v>162</v>
      </c>
      <c r="J66" s="3">
        <v>97547</v>
      </c>
      <c r="K66" s="3">
        <v>3</v>
      </c>
      <c r="L66" s="3">
        <v>124</v>
      </c>
      <c r="O66" s="3">
        <v>8</v>
      </c>
      <c r="Q66" s="3">
        <v>5.0999999999999996</v>
      </c>
      <c r="R66" s="3">
        <v>3.5</v>
      </c>
      <c r="S66" s="3">
        <v>70</v>
      </c>
      <c r="T66" s="3">
        <v>100</v>
      </c>
      <c r="U66" s="3" t="s">
        <v>23</v>
      </c>
      <c r="V66" s="3">
        <v>67</v>
      </c>
      <c r="W66" s="3" t="s">
        <v>63</v>
      </c>
    </row>
    <row r="67" spans="1:23" s="3" customFormat="1" x14ac:dyDescent="0.3">
      <c r="A67" s="3" t="s">
        <v>12</v>
      </c>
      <c r="B67" s="3" t="s">
        <v>17</v>
      </c>
      <c r="C67" s="3">
        <v>156</v>
      </c>
      <c r="D67" s="3">
        <v>53</v>
      </c>
      <c r="E67" s="3">
        <v>511</v>
      </c>
      <c r="F67" s="3">
        <v>114</v>
      </c>
      <c r="G67" s="3">
        <v>1</v>
      </c>
      <c r="H67" s="3">
        <v>10</v>
      </c>
      <c r="I67" s="3">
        <v>162</v>
      </c>
      <c r="J67" s="3">
        <v>89888</v>
      </c>
      <c r="K67" s="3">
        <v>3</v>
      </c>
      <c r="L67" s="3">
        <v>124</v>
      </c>
      <c r="O67" s="3">
        <v>8</v>
      </c>
      <c r="Q67" s="3">
        <v>4.7</v>
      </c>
      <c r="R67" s="3">
        <v>2.8</v>
      </c>
      <c r="S67" s="3">
        <v>76</v>
      </c>
      <c r="T67" s="3">
        <v>100</v>
      </c>
      <c r="U67" s="3" t="s">
        <v>23</v>
      </c>
      <c r="V67" s="3">
        <v>49</v>
      </c>
      <c r="W67" s="3" t="s">
        <v>63</v>
      </c>
    </row>
    <row r="68" spans="1:23" s="3" customFormat="1" x14ac:dyDescent="0.3">
      <c r="A68" s="3" t="s">
        <v>12</v>
      </c>
      <c r="B68" s="3" t="s">
        <v>18</v>
      </c>
      <c r="C68" s="3">
        <v>6.36</v>
      </c>
      <c r="D68" s="3">
        <v>53</v>
      </c>
      <c r="E68" s="3">
        <v>511</v>
      </c>
      <c r="F68" s="3">
        <v>114</v>
      </c>
      <c r="G68" s="3">
        <v>1</v>
      </c>
      <c r="H68" s="3">
        <v>10</v>
      </c>
      <c r="I68" s="3">
        <v>162</v>
      </c>
      <c r="J68" s="3">
        <v>1542</v>
      </c>
      <c r="K68" s="3">
        <v>3</v>
      </c>
      <c r="L68" s="3">
        <v>124</v>
      </c>
      <c r="M68" s="3">
        <v>34815168</v>
      </c>
      <c r="N68" s="3">
        <v>137380</v>
      </c>
      <c r="O68" s="3">
        <v>8</v>
      </c>
      <c r="Q68" s="3">
        <v>4.0999999999999996</v>
      </c>
      <c r="R68" s="3">
        <v>3.8</v>
      </c>
      <c r="S68" s="3">
        <v>85</v>
      </c>
      <c r="T68" s="3">
        <v>97</v>
      </c>
      <c r="U68" s="3" t="s">
        <v>23</v>
      </c>
      <c r="V68" s="3">
        <v>45</v>
      </c>
      <c r="W68" s="3" t="s">
        <v>63</v>
      </c>
    </row>
    <row r="69" spans="1:23" s="3" customFormat="1" x14ac:dyDescent="0.3">
      <c r="A69" s="3" t="s">
        <v>12</v>
      </c>
      <c r="B69" s="3" t="s">
        <v>19</v>
      </c>
      <c r="C69" s="3">
        <v>6.07</v>
      </c>
      <c r="D69" s="3">
        <v>53</v>
      </c>
      <c r="E69" s="3">
        <v>511</v>
      </c>
      <c r="F69" s="3">
        <v>114</v>
      </c>
      <c r="G69" s="3">
        <v>1</v>
      </c>
      <c r="H69" s="3">
        <v>10</v>
      </c>
      <c r="I69" s="3">
        <v>162</v>
      </c>
      <c r="J69" s="3">
        <v>1571</v>
      </c>
      <c r="K69" s="3">
        <v>3</v>
      </c>
      <c r="L69" s="3">
        <v>124</v>
      </c>
      <c r="M69" s="3">
        <v>35172597</v>
      </c>
      <c r="N69" s="3">
        <v>139095</v>
      </c>
      <c r="O69" s="3">
        <v>8</v>
      </c>
      <c r="Q69" s="3">
        <v>4.0999999999999996</v>
      </c>
      <c r="R69" s="3">
        <v>5.2</v>
      </c>
      <c r="S69" s="3">
        <v>75</v>
      </c>
      <c r="T69" s="3">
        <v>98</v>
      </c>
      <c r="U69" s="3" t="s">
        <v>23</v>
      </c>
      <c r="V69" s="3">
        <v>55</v>
      </c>
      <c r="W69" s="3" t="s">
        <v>63</v>
      </c>
    </row>
    <row r="70" spans="1:23" s="5" customFormat="1" x14ac:dyDescent="0.3">
      <c r="A70" s="5" t="s">
        <v>9</v>
      </c>
      <c r="B70" s="5" t="s">
        <v>31</v>
      </c>
      <c r="C70" s="5">
        <v>51.7</v>
      </c>
      <c r="D70" s="5">
        <v>6</v>
      </c>
      <c r="E70" s="5">
        <v>265</v>
      </c>
      <c r="F70" s="5">
        <v>90</v>
      </c>
      <c r="G70" s="5">
        <v>9</v>
      </c>
      <c r="H70" s="5">
        <v>6</v>
      </c>
      <c r="I70" s="5">
        <v>133</v>
      </c>
      <c r="J70" s="5">
        <v>16</v>
      </c>
      <c r="K70" s="5">
        <v>5</v>
      </c>
      <c r="L70" s="5">
        <v>144</v>
      </c>
      <c r="M70" s="5">
        <v>208376</v>
      </c>
      <c r="N70" s="5">
        <v>453</v>
      </c>
      <c r="O70" s="5">
        <v>100</v>
      </c>
      <c r="Q70" s="5">
        <v>50.4</v>
      </c>
      <c r="R70" s="5">
        <v>3.6</v>
      </c>
      <c r="S70" s="5" t="s">
        <v>64</v>
      </c>
      <c r="T70" s="5">
        <v>100</v>
      </c>
      <c r="U70" s="5" t="s">
        <v>23</v>
      </c>
      <c r="V70" s="5">
        <v>55</v>
      </c>
      <c r="W70" s="5" t="s">
        <v>63</v>
      </c>
    </row>
    <row r="71" spans="1:23" s="5" customFormat="1" x14ac:dyDescent="0.3">
      <c r="A71" s="5" t="s">
        <v>9</v>
      </c>
      <c r="B71" s="5" t="s">
        <v>32</v>
      </c>
      <c r="C71" s="5">
        <v>101.5</v>
      </c>
      <c r="D71" s="5">
        <v>6</v>
      </c>
      <c r="E71" s="5">
        <v>265</v>
      </c>
      <c r="F71" s="5">
        <v>90</v>
      </c>
      <c r="G71" s="5">
        <v>9</v>
      </c>
      <c r="H71" s="5">
        <v>6</v>
      </c>
      <c r="I71" s="5">
        <v>133</v>
      </c>
      <c r="J71" s="5">
        <v>24</v>
      </c>
      <c r="K71" s="5">
        <v>5</v>
      </c>
      <c r="L71" s="5">
        <v>144</v>
      </c>
      <c r="M71" s="5">
        <v>207585</v>
      </c>
      <c r="N71" s="5">
        <v>453</v>
      </c>
      <c r="O71" s="5">
        <v>100</v>
      </c>
      <c r="Q71" s="5">
        <v>49.3</v>
      </c>
      <c r="R71" s="5">
        <v>3.4</v>
      </c>
      <c r="S71" s="5" t="s">
        <v>64</v>
      </c>
      <c r="T71" s="5">
        <v>99</v>
      </c>
      <c r="U71" s="5" t="s">
        <v>23</v>
      </c>
      <c r="V71" s="5">
        <v>48</v>
      </c>
      <c r="W71" s="5" t="s">
        <v>63</v>
      </c>
    </row>
    <row r="72" spans="1:23" s="5" customFormat="1" x14ac:dyDescent="0.3">
      <c r="A72" s="5" t="s">
        <v>9</v>
      </c>
      <c r="B72" s="5" t="s">
        <v>33</v>
      </c>
      <c r="C72" s="5">
        <v>150.9</v>
      </c>
      <c r="D72" s="5">
        <v>6</v>
      </c>
      <c r="E72" s="5">
        <v>265</v>
      </c>
      <c r="F72" s="5">
        <v>90</v>
      </c>
      <c r="G72" s="5">
        <v>9</v>
      </c>
      <c r="H72" s="5">
        <v>6</v>
      </c>
      <c r="I72" s="5">
        <v>133</v>
      </c>
      <c r="J72" s="5">
        <v>32</v>
      </c>
      <c r="K72" s="5">
        <v>5</v>
      </c>
      <c r="L72" s="5">
        <v>144</v>
      </c>
      <c r="M72" s="5">
        <v>207377</v>
      </c>
      <c r="N72" s="5">
        <v>453</v>
      </c>
      <c r="O72" s="5">
        <v>100</v>
      </c>
      <c r="Q72" s="5">
        <v>50.9</v>
      </c>
      <c r="R72" s="5">
        <v>3.1</v>
      </c>
      <c r="S72" s="5" t="s">
        <v>64</v>
      </c>
      <c r="T72" s="5">
        <v>99</v>
      </c>
      <c r="U72" s="5" t="s">
        <v>23</v>
      </c>
      <c r="V72" s="5">
        <v>50</v>
      </c>
      <c r="W72" s="5" t="s">
        <v>63</v>
      </c>
    </row>
    <row r="73" spans="1:23" s="5" customFormat="1" x14ac:dyDescent="0.3">
      <c r="A73" s="5" t="s">
        <v>9</v>
      </c>
      <c r="B73" s="5" t="s">
        <v>34</v>
      </c>
      <c r="C73" s="5">
        <v>201.5</v>
      </c>
      <c r="D73" s="5">
        <v>6</v>
      </c>
      <c r="E73" s="5">
        <v>265</v>
      </c>
      <c r="F73" s="5">
        <v>90</v>
      </c>
      <c r="G73" s="5">
        <v>9</v>
      </c>
      <c r="H73" s="5">
        <v>6</v>
      </c>
      <c r="I73" s="5">
        <v>133</v>
      </c>
      <c r="J73" s="5">
        <v>38</v>
      </c>
      <c r="K73" s="5">
        <v>5</v>
      </c>
      <c r="L73" s="5">
        <v>144</v>
      </c>
      <c r="M73" s="5">
        <v>208228</v>
      </c>
      <c r="N73" s="5">
        <v>453</v>
      </c>
      <c r="O73" s="5">
        <v>100</v>
      </c>
      <c r="Q73" s="5">
        <v>51.1</v>
      </c>
      <c r="R73" s="5">
        <v>4</v>
      </c>
      <c r="S73" s="5" t="s">
        <v>64</v>
      </c>
      <c r="T73" s="5">
        <v>92</v>
      </c>
      <c r="U73" s="5" t="s">
        <v>23</v>
      </c>
      <c r="V73" s="5">
        <v>63</v>
      </c>
      <c r="W73" s="5" t="s">
        <v>63</v>
      </c>
    </row>
    <row r="74" spans="1:23" s="5" customFormat="1" x14ac:dyDescent="0.3">
      <c r="A74" s="5" t="s">
        <v>37</v>
      </c>
      <c r="B74" s="5" t="s">
        <v>31</v>
      </c>
      <c r="C74" s="5">
        <v>51.7</v>
      </c>
      <c r="D74" s="5">
        <v>6</v>
      </c>
      <c r="E74" s="5">
        <v>265</v>
      </c>
      <c r="F74" s="5">
        <v>90</v>
      </c>
      <c r="G74" s="5">
        <v>9</v>
      </c>
      <c r="H74" s="5">
        <v>6</v>
      </c>
      <c r="I74" s="5">
        <v>133</v>
      </c>
      <c r="J74" s="5">
        <v>12</v>
      </c>
      <c r="K74" s="5">
        <v>5</v>
      </c>
      <c r="L74" s="5">
        <v>133</v>
      </c>
      <c r="M74" s="5">
        <v>197117</v>
      </c>
      <c r="N74" s="5">
        <v>327</v>
      </c>
      <c r="O74" s="5">
        <v>100</v>
      </c>
      <c r="Q74" s="5">
        <v>50.1</v>
      </c>
      <c r="R74" s="5">
        <v>3.7</v>
      </c>
      <c r="S74" s="5" t="s">
        <v>64</v>
      </c>
      <c r="T74" s="5">
        <v>92</v>
      </c>
      <c r="U74" s="5" t="s">
        <v>23</v>
      </c>
      <c r="V74" s="5">
        <v>42</v>
      </c>
      <c r="W74" s="5" t="s">
        <v>63</v>
      </c>
    </row>
    <row r="75" spans="1:23" x14ac:dyDescent="0.3">
      <c r="A75" t="s">
        <v>37</v>
      </c>
      <c r="B75" t="s">
        <v>32</v>
      </c>
      <c r="C75">
        <v>101.5</v>
      </c>
      <c r="D75">
        <v>6</v>
      </c>
      <c r="E75">
        <v>265</v>
      </c>
      <c r="F75">
        <v>90</v>
      </c>
      <c r="G75">
        <v>9</v>
      </c>
      <c r="H75">
        <v>6</v>
      </c>
      <c r="I75">
        <v>133</v>
      </c>
      <c r="J75">
        <v>19</v>
      </c>
      <c r="K75">
        <v>5</v>
      </c>
      <c r="L75" s="3">
        <v>133</v>
      </c>
      <c r="M75" s="11">
        <v>196929</v>
      </c>
      <c r="N75">
        <v>327</v>
      </c>
      <c r="O75" s="3">
        <v>100</v>
      </c>
      <c r="Q75">
        <v>50.4</v>
      </c>
      <c r="R75">
        <v>3.8</v>
      </c>
      <c r="S75">
        <v>90</v>
      </c>
      <c r="T75">
        <v>74</v>
      </c>
      <c r="U75" t="s">
        <v>23</v>
      </c>
      <c r="V75" s="11">
        <v>50</v>
      </c>
      <c r="W75" t="s">
        <v>63</v>
      </c>
    </row>
    <row r="76" spans="1:23" x14ac:dyDescent="0.3">
      <c r="A76" t="s">
        <v>37</v>
      </c>
      <c r="B76" t="s">
        <v>33</v>
      </c>
      <c r="C76">
        <v>150.9</v>
      </c>
      <c r="D76">
        <v>6</v>
      </c>
      <c r="E76">
        <v>265</v>
      </c>
      <c r="F76">
        <v>90</v>
      </c>
      <c r="G76">
        <v>9</v>
      </c>
      <c r="H76">
        <v>6</v>
      </c>
      <c r="I76">
        <v>133</v>
      </c>
      <c r="J76">
        <v>24</v>
      </c>
      <c r="K76">
        <v>5</v>
      </c>
      <c r="L76" s="3">
        <v>133</v>
      </c>
      <c r="M76" s="11">
        <v>196631</v>
      </c>
      <c r="N76">
        <v>327</v>
      </c>
      <c r="O76" s="3">
        <v>100</v>
      </c>
      <c r="Q76">
        <v>51.1</v>
      </c>
      <c r="R76">
        <v>4</v>
      </c>
      <c r="S76">
        <v>55</v>
      </c>
      <c r="T76">
        <v>42</v>
      </c>
      <c r="U76" t="s">
        <v>23</v>
      </c>
      <c r="V76" s="11">
        <v>52</v>
      </c>
      <c r="W76" t="s">
        <v>63</v>
      </c>
    </row>
    <row r="77" spans="1:23" x14ac:dyDescent="0.3">
      <c r="A77" t="s">
        <v>37</v>
      </c>
      <c r="B77" t="s">
        <v>34</v>
      </c>
      <c r="C77">
        <v>201.5</v>
      </c>
      <c r="D77">
        <v>6</v>
      </c>
      <c r="E77">
        <v>265</v>
      </c>
      <c r="F77">
        <v>90</v>
      </c>
      <c r="G77">
        <v>9</v>
      </c>
      <c r="H77">
        <v>6</v>
      </c>
      <c r="I77">
        <v>133</v>
      </c>
      <c r="J77">
        <v>30</v>
      </c>
      <c r="K77">
        <v>5</v>
      </c>
      <c r="L77" s="3">
        <v>133</v>
      </c>
      <c r="M77" s="11">
        <v>197235</v>
      </c>
      <c r="N77">
        <v>327</v>
      </c>
      <c r="O77" s="3">
        <v>100</v>
      </c>
      <c r="Q77">
        <v>50.3</v>
      </c>
      <c r="R77">
        <v>4.0999999999999996</v>
      </c>
      <c r="S77">
        <v>67</v>
      </c>
      <c r="T77">
        <v>50</v>
      </c>
      <c r="U77" t="s">
        <v>23</v>
      </c>
      <c r="V77" s="11">
        <v>49</v>
      </c>
      <c r="W77" t="s">
        <v>63</v>
      </c>
    </row>
    <row r="78" spans="1:23" x14ac:dyDescent="0.3">
      <c r="A78" t="s">
        <v>38</v>
      </c>
      <c r="B78" t="s">
        <v>31</v>
      </c>
      <c r="C78">
        <v>51.7</v>
      </c>
      <c r="D78">
        <v>6</v>
      </c>
      <c r="E78">
        <v>265</v>
      </c>
      <c r="F78">
        <v>90</v>
      </c>
      <c r="G78">
        <v>9</v>
      </c>
      <c r="H78">
        <v>6</v>
      </c>
      <c r="I78">
        <v>133</v>
      </c>
      <c r="J78">
        <v>15</v>
      </c>
      <c r="K78">
        <v>5</v>
      </c>
      <c r="L78" s="3">
        <v>138</v>
      </c>
      <c r="M78" s="11">
        <v>202587</v>
      </c>
      <c r="N78">
        <v>390</v>
      </c>
      <c r="O78" s="3">
        <v>100</v>
      </c>
      <c r="Q78">
        <v>50.2</v>
      </c>
      <c r="R78">
        <v>4.0999999999999996</v>
      </c>
      <c r="S78">
        <v>55</v>
      </c>
      <c r="T78">
        <v>50</v>
      </c>
      <c r="U78" t="s">
        <v>23</v>
      </c>
      <c r="V78" s="11">
        <v>51</v>
      </c>
      <c r="W78" t="s">
        <v>63</v>
      </c>
    </row>
    <row r="79" spans="1:23" s="5" customFormat="1" x14ac:dyDescent="0.3">
      <c r="A79" s="5" t="s">
        <v>38</v>
      </c>
      <c r="B79" s="5" t="s">
        <v>32</v>
      </c>
      <c r="C79" s="5">
        <v>101.5</v>
      </c>
      <c r="D79" s="5">
        <v>6</v>
      </c>
      <c r="E79" s="5">
        <v>265</v>
      </c>
      <c r="F79" s="5">
        <v>90</v>
      </c>
      <c r="G79" s="5">
        <v>9</v>
      </c>
      <c r="H79" s="5">
        <v>6</v>
      </c>
      <c r="I79" s="5">
        <v>133</v>
      </c>
      <c r="J79" s="5">
        <v>22</v>
      </c>
      <c r="K79" s="5">
        <v>5</v>
      </c>
      <c r="L79" s="5">
        <v>138</v>
      </c>
      <c r="M79" s="5">
        <v>202159</v>
      </c>
      <c r="N79" s="5">
        <v>390</v>
      </c>
      <c r="O79" s="5">
        <v>100</v>
      </c>
      <c r="Q79" s="5">
        <v>52.9</v>
      </c>
      <c r="R79" s="5">
        <v>17.100000000000001</v>
      </c>
      <c r="S79" s="5" t="s">
        <v>64</v>
      </c>
      <c r="T79" s="5">
        <v>99</v>
      </c>
      <c r="U79" s="5" t="s">
        <v>23</v>
      </c>
      <c r="V79" s="5">
        <v>51</v>
      </c>
      <c r="W79" s="5" t="s">
        <v>63</v>
      </c>
    </row>
    <row r="80" spans="1:23" s="5" customFormat="1" x14ac:dyDescent="0.3">
      <c r="A80" s="5" t="s">
        <v>38</v>
      </c>
      <c r="B80" s="5" t="s">
        <v>33</v>
      </c>
      <c r="C80" s="5">
        <v>150.9</v>
      </c>
      <c r="D80" s="5">
        <v>6</v>
      </c>
      <c r="E80" s="5">
        <v>265</v>
      </c>
      <c r="F80" s="5">
        <v>90</v>
      </c>
      <c r="G80" s="5">
        <v>9</v>
      </c>
      <c r="H80" s="5">
        <v>6</v>
      </c>
      <c r="I80" s="5">
        <v>133</v>
      </c>
      <c r="J80" s="5">
        <v>25</v>
      </c>
      <c r="K80" s="5">
        <v>5</v>
      </c>
      <c r="L80" s="5">
        <v>138</v>
      </c>
      <c r="M80" s="5">
        <v>202193</v>
      </c>
      <c r="N80" s="5">
        <v>390</v>
      </c>
      <c r="O80" s="5">
        <v>100</v>
      </c>
      <c r="Q80" s="5">
        <v>54.9</v>
      </c>
      <c r="R80" s="5">
        <v>19.899999999999999</v>
      </c>
      <c r="S80" s="5" t="s">
        <v>64</v>
      </c>
      <c r="T80" s="5">
        <v>97</v>
      </c>
      <c r="U80" s="5" t="s">
        <v>23</v>
      </c>
      <c r="V80" s="5">
        <v>62</v>
      </c>
      <c r="W80" s="5" t="s">
        <v>63</v>
      </c>
    </row>
    <row r="81" spans="1:29" s="5" customFormat="1" x14ac:dyDescent="0.3">
      <c r="A81" s="5" t="s">
        <v>38</v>
      </c>
      <c r="B81" s="5" t="s">
        <v>34</v>
      </c>
      <c r="C81" s="5">
        <v>201.5</v>
      </c>
      <c r="D81" s="5">
        <v>6</v>
      </c>
      <c r="E81" s="5">
        <v>265</v>
      </c>
      <c r="F81" s="5">
        <v>90</v>
      </c>
      <c r="G81" s="5">
        <v>9</v>
      </c>
      <c r="H81" s="5">
        <v>6</v>
      </c>
      <c r="I81" s="5">
        <v>133</v>
      </c>
      <c r="J81" s="5">
        <v>32</v>
      </c>
      <c r="K81" s="5">
        <v>5</v>
      </c>
      <c r="L81" s="5">
        <v>138</v>
      </c>
      <c r="M81" s="5">
        <v>203055</v>
      </c>
      <c r="N81" s="5">
        <v>390</v>
      </c>
      <c r="O81" s="5">
        <v>100</v>
      </c>
      <c r="Q81" s="5">
        <v>56.1</v>
      </c>
      <c r="R81" s="5">
        <v>20.100000000000001</v>
      </c>
      <c r="S81" s="5" t="s">
        <v>64</v>
      </c>
      <c r="T81" s="5">
        <v>100</v>
      </c>
      <c r="U81" s="5" t="s">
        <v>23</v>
      </c>
      <c r="V81" s="5">
        <v>69</v>
      </c>
      <c r="W81" s="5" t="s">
        <v>63</v>
      </c>
    </row>
    <row r="82" spans="1:29" s="5" customFormat="1" x14ac:dyDescent="0.3">
      <c r="A82" s="5" t="s">
        <v>39</v>
      </c>
      <c r="B82" s="5" t="s">
        <v>31</v>
      </c>
      <c r="C82" s="5">
        <v>51.7</v>
      </c>
      <c r="D82" s="5">
        <v>6</v>
      </c>
      <c r="E82" s="5">
        <v>265</v>
      </c>
      <c r="F82" s="5">
        <v>90</v>
      </c>
      <c r="G82" s="5">
        <v>9</v>
      </c>
      <c r="H82" s="5">
        <v>6</v>
      </c>
      <c r="I82" s="5">
        <v>133</v>
      </c>
      <c r="J82" s="5">
        <v>9</v>
      </c>
      <c r="K82" s="5">
        <v>5</v>
      </c>
      <c r="L82" s="5">
        <v>132</v>
      </c>
      <c r="M82" s="5">
        <v>193330</v>
      </c>
      <c r="N82" s="5">
        <v>451</v>
      </c>
      <c r="O82" s="5">
        <v>100</v>
      </c>
      <c r="Q82" s="5">
        <v>53.2</v>
      </c>
      <c r="R82" s="5">
        <v>19.2</v>
      </c>
      <c r="S82" s="5" t="s">
        <v>64</v>
      </c>
      <c r="T82" s="5">
        <v>99</v>
      </c>
      <c r="U82" s="5" t="s">
        <v>23</v>
      </c>
      <c r="V82" s="5">
        <v>67</v>
      </c>
      <c r="W82" s="5" t="s">
        <v>63</v>
      </c>
    </row>
    <row r="83" spans="1:29" s="5" customFormat="1" x14ac:dyDescent="0.3">
      <c r="A83" s="5" t="s">
        <v>39</v>
      </c>
      <c r="B83" s="5" t="s">
        <v>32</v>
      </c>
      <c r="C83" s="5">
        <v>101.5</v>
      </c>
      <c r="D83" s="5">
        <v>6</v>
      </c>
      <c r="E83" s="5">
        <v>265</v>
      </c>
      <c r="F83" s="5">
        <v>90</v>
      </c>
      <c r="G83" s="5">
        <v>9</v>
      </c>
      <c r="H83" s="5">
        <v>6</v>
      </c>
      <c r="I83" s="5">
        <v>133</v>
      </c>
      <c r="J83" s="5">
        <v>16</v>
      </c>
      <c r="K83" s="5">
        <v>5</v>
      </c>
      <c r="L83" s="5">
        <v>132</v>
      </c>
      <c r="M83" s="5">
        <v>193195</v>
      </c>
      <c r="N83" s="5">
        <v>222</v>
      </c>
      <c r="O83" s="5">
        <v>100</v>
      </c>
      <c r="Q83" s="5">
        <v>52.8</v>
      </c>
      <c r="R83" s="5">
        <v>20.100000000000001</v>
      </c>
      <c r="S83" s="5" t="s">
        <v>64</v>
      </c>
      <c r="T83" s="5">
        <v>89</v>
      </c>
      <c r="U83" s="5" t="s">
        <v>23</v>
      </c>
      <c r="V83" s="5">
        <v>70</v>
      </c>
      <c r="W83" s="5" t="s">
        <v>63</v>
      </c>
    </row>
    <row r="84" spans="1:29" x14ac:dyDescent="0.3">
      <c r="A84" t="s">
        <v>39</v>
      </c>
      <c r="B84" t="s">
        <v>33</v>
      </c>
      <c r="C84">
        <v>150.9</v>
      </c>
      <c r="D84">
        <v>6</v>
      </c>
      <c r="E84">
        <v>265</v>
      </c>
      <c r="F84">
        <v>90</v>
      </c>
      <c r="G84">
        <v>9</v>
      </c>
      <c r="H84">
        <v>6</v>
      </c>
      <c r="I84">
        <v>133</v>
      </c>
      <c r="J84">
        <v>15</v>
      </c>
      <c r="K84">
        <v>5</v>
      </c>
      <c r="L84" s="3">
        <v>132</v>
      </c>
      <c r="M84" s="11">
        <v>192989</v>
      </c>
      <c r="N84">
        <v>292</v>
      </c>
      <c r="O84" s="3">
        <v>100</v>
      </c>
      <c r="Q84">
        <v>53.9</v>
      </c>
      <c r="R84">
        <v>19.899999999999999</v>
      </c>
      <c r="S84">
        <v>76</v>
      </c>
      <c r="T84">
        <v>59</v>
      </c>
      <c r="U84" t="s">
        <v>23</v>
      </c>
      <c r="V84" s="11">
        <v>68</v>
      </c>
      <c r="W84" t="s">
        <v>63</v>
      </c>
    </row>
    <row r="85" spans="1:29" x14ac:dyDescent="0.3">
      <c r="A85" t="s">
        <v>39</v>
      </c>
      <c r="B85" t="s">
        <v>34</v>
      </c>
      <c r="C85">
        <v>201.5</v>
      </c>
      <c r="D85">
        <v>6</v>
      </c>
      <c r="E85">
        <v>265</v>
      </c>
      <c r="F85">
        <v>90</v>
      </c>
      <c r="G85">
        <v>9</v>
      </c>
      <c r="H85">
        <v>6</v>
      </c>
      <c r="I85">
        <v>133</v>
      </c>
      <c r="J85">
        <v>19</v>
      </c>
      <c r="K85">
        <v>5</v>
      </c>
      <c r="L85" s="3">
        <v>132</v>
      </c>
      <c r="M85" s="11">
        <v>193353</v>
      </c>
      <c r="N85">
        <v>285</v>
      </c>
      <c r="O85" s="3">
        <v>100</v>
      </c>
      <c r="Q85">
        <v>53.2</v>
      </c>
      <c r="R85">
        <v>20.2</v>
      </c>
      <c r="S85">
        <v>52</v>
      </c>
      <c r="T85">
        <v>45</v>
      </c>
      <c r="U85" t="s">
        <v>23</v>
      </c>
      <c r="V85" s="11">
        <v>66</v>
      </c>
      <c r="W85" t="s">
        <v>63</v>
      </c>
    </row>
    <row r="86" spans="1:29" x14ac:dyDescent="0.3">
      <c r="A86" t="s">
        <v>11</v>
      </c>
      <c r="B86" t="s">
        <v>31</v>
      </c>
      <c r="C86">
        <v>51.7</v>
      </c>
      <c r="D86">
        <v>0</v>
      </c>
      <c r="E86">
        <v>19</v>
      </c>
      <c r="F86">
        <v>9</v>
      </c>
      <c r="G86">
        <v>0</v>
      </c>
      <c r="H86">
        <v>0</v>
      </c>
      <c r="I86">
        <v>16</v>
      </c>
      <c r="J86">
        <v>90</v>
      </c>
      <c r="K86">
        <v>1</v>
      </c>
      <c r="L86" s="3">
        <v>25.6</v>
      </c>
      <c r="M86" s="11">
        <v>7583593</v>
      </c>
      <c r="N86">
        <v>235419</v>
      </c>
      <c r="O86" s="3">
        <v>32</v>
      </c>
      <c r="Q86">
        <v>4</v>
      </c>
      <c r="R86">
        <v>2.6</v>
      </c>
      <c r="S86">
        <v>66</v>
      </c>
      <c r="T86">
        <v>80</v>
      </c>
      <c r="U86" t="s">
        <v>23</v>
      </c>
      <c r="V86" s="11">
        <v>45</v>
      </c>
      <c r="W86" t="s">
        <v>63</v>
      </c>
    </row>
    <row r="87" spans="1:29" x14ac:dyDescent="0.3">
      <c r="A87" t="s">
        <v>11</v>
      </c>
      <c r="B87" t="s">
        <v>32</v>
      </c>
      <c r="C87">
        <v>101.5</v>
      </c>
      <c r="D87">
        <v>0</v>
      </c>
      <c r="E87">
        <v>19</v>
      </c>
      <c r="F87">
        <v>9</v>
      </c>
      <c r="G87">
        <v>0</v>
      </c>
      <c r="H87">
        <v>0</v>
      </c>
      <c r="I87">
        <v>16</v>
      </c>
      <c r="J87">
        <v>140</v>
      </c>
      <c r="K87">
        <v>1</v>
      </c>
      <c r="L87" s="3">
        <v>25.6</v>
      </c>
      <c r="M87" s="11">
        <v>11657510</v>
      </c>
      <c r="N87">
        <v>365042</v>
      </c>
      <c r="O87" s="3">
        <v>32</v>
      </c>
      <c r="Q87">
        <v>2.8</v>
      </c>
      <c r="R87">
        <v>2.7</v>
      </c>
      <c r="S87">
        <v>80</v>
      </c>
      <c r="T87">
        <v>96</v>
      </c>
      <c r="U87" t="s">
        <v>23</v>
      </c>
      <c r="V87" s="11">
        <v>55</v>
      </c>
      <c r="W87" t="s">
        <v>63</v>
      </c>
    </row>
    <row r="88" spans="1:29" x14ac:dyDescent="0.3">
      <c r="A88" t="s">
        <v>11</v>
      </c>
      <c r="B88" t="s">
        <v>33</v>
      </c>
      <c r="C88">
        <v>150.9</v>
      </c>
      <c r="D88">
        <v>0</v>
      </c>
      <c r="E88">
        <v>19</v>
      </c>
      <c r="F88">
        <v>9</v>
      </c>
      <c r="G88">
        <v>0</v>
      </c>
      <c r="H88">
        <v>0</v>
      </c>
      <c r="I88">
        <v>16</v>
      </c>
      <c r="J88">
        <v>198</v>
      </c>
      <c r="K88">
        <v>1</v>
      </c>
      <c r="L88" s="3">
        <v>25.6</v>
      </c>
      <c r="M88" s="11">
        <v>15814953</v>
      </c>
      <c r="N88">
        <v>491238</v>
      </c>
      <c r="O88" s="3">
        <v>32</v>
      </c>
      <c r="Q88">
        <v>2.6</v>
      </c>
      <c r="R88">
        <v>2.9</v>
      </c>
      <c r="S88">
        <v>65</v>
      </c>
      <c r="T88">
        <v>79</v>
      </c>
      <c r="U88" t="s">
        <v>23</v>
      </c>
      <c r="V88" s="11">
        <v>61</v>
      </c>
      <c r="W88" t="s">
        <v>63</v>
      </c>
    </row>
    <row r="89" spans="1:29" x14ac:dyDescent="0.3">
      <c r="A89" t="s">
        <v>11</v>
      </c>
      <c r="B89" t="s">
        <v>34</v>
      </c>
      <c r="C89">
        <v>201.5</v>
      </c>
      <c r="D89">
        <v>0</v>
      </c>
      <c r="E89">
        <v>19</v>
      </c>
      <c r="F89">
        <v>9</v>
      </c>
      <c r="G89">
        <v>0</v>
      </c>
      <c r="H89">
        <v>0</v>
      </c>
      <c r="I89">
        <v>16</v>
      </c>
      <c r="J89">
        <v>248</v>
      </c>
      <c r="K89">
        <v>1</v>
      </c>
      <c r="L89" s="3">
        <v>25.6</v>
      </c>
      <c r="M89" s="11">
        <v>19889706</v>
      </c>
      <c r="N89">
        <v>617861</v>
      </c>
      <c r="O89" s="3">
        <v>32</v>
      </c>
      <c r="Q89">
        <v>2.5</v>
      </c>
      <c r="R89">
        <v>2.8</v>
      </c>
      <c r="S89">
        <v>63</v>
      </c>
      <c r="T89">
        <v>73</v>
      </c>
      <c r="U89" t="s">
        <v>23</v>
      </c>
      <c r="V89" s="11">
        <v>69</v>
      </c>
      <c r="W89" t="s">
        <v>63</v>
      </c>
    </row>
    <row r="90" spans="1:29" x14ac:dyDescent="0.3">
      <c r="A90" s="3" t="s">
        <v>15</v>
      </c>
      <c r="B90" s="3" t="s">
        <v>55</v>
      </c>
      <c r="C90" s="3">
        <v>103</v>
      </c>
      <c r="D90" s="3">
        <v>2</v>
      </c>
      <c r="E90" s="3">
        <v>12</v>
      </c>
      <c r="F90" s="3">
        <v>5</v>
      </c>
      <c r="G90" s="3">
        <v>0</v>
      </c>
      <c r="H90" s="3">
        <v>0</v>
      </c>
      <c r="I90" s="3">
        <v>5</v>
      </c>
      <c r="J90" s="3">
        <v>560</v>
      </c>
      <c r="K90" s="3">
        <v>1</v>
      </c>
      <c r="L90" s="3">
        <v>60</v>
      </c>
      <c r="M90" s="11">
        <v>80848023</v>
      </c>
      <c r="N90" s="4">
        <v>957786</v>
      </c>
      <c r="O90" s="3">
        <v>16</v>
      </c>
      <c r="P90" s="11">
        <v>124</v>
      </c>
      <c r="Q90" s="3">
        <v>2.7</v>
      </c>
      <c r="R90" s="3">
        <v>4.3</v>
      </c>
      <c r="S90" s="3" t="s">
        <v>64</v>
      </c>
      <c r="T90" s="3">
        <v>11</v>
      </c>
      <c r="U90" s="3" t="s">
        <v>23</v>
      </c>
      <c r="V90" s="11">
        <v>69</v>
      </c>
      <c r="W90" t="s">
        <v>63</v>
      </c>
    </row>
    <row r="91" spans="1:29" x14ac:dyDescent="0.3">
      <c r="A91" s="3" t="s">
        <v>15</v>
      </c>
      <c r="B91" s="3" t="s">
        <v>56</v>
      </c>
      <c r="C91" s="3">
        <v>36.799999999999997</v>
      </c>
      <c r="D91" s="3">
        <v>2</v>
      </c>
      <c r="E91" s="3">
        <v>12</v>
      </c>
      <c r="F91" s="3">
        <v>5</v>
      </c>
      <c r="G91" s="3">
        <v>0</v>
      </c>
      <c r="H91" s="3">
        <v>0</v>
      </c>
      <c r="I91" s="3">
        <v>5</v>
      </c>
      <c r="J91" s="3">
        <v>5553</v>
      </c>
      <c r="K91" s="3">
        <v>1</v>
      </c>
      <c r="L91" s="3">
        <v>60</v>
      </c>
      <c r="M91" s="11">
        <v>112241507</v>
      </c>
      <c r="N91" s="3">
        <v>8980</v>
      </c>
      <c r="O91" s="3">
        <v>16</v>
      </c>
      <c r="P91" s="11">
        <v>124</v>
      </c>
      <c r="Q91" s="3">
        <v>2.6</v>
      </c>
      <c r="R91" s="3">
        <v>4.4000000000000004</v>
      </c>
      <c r="S91" s="3" t="s">
        <v>64</v>
      </c>
      <c r="T91" s="3">
        <v>7</v>
      </c>
      <c r="U91" s="3" t="s">
        <v>23</v>
      </c>
      <c r="V91" s="11">
        <v>70</v>
      </c>
      <c r="W91" t="s">
        <v>63</v>
      </c>
    </row>
    <row r="92" spans="1:29" x14ac:dyDescent="0.3">
      <c r="A92" t="s">
        <v>10</v>
      </c>
      <c r="B92" t="s">
        <v>16</v>
      </c>
      <c r="C92">
        <v>157</v>
      </c>
      <c r="D92">
        <v>44</v>
      </c>
      <c r="E92">
        <v>467</v>
      </c>
      <c r="F92">
        <v>106</v>
      </c>
      <c r="G92">
        <v>0</v>
      </c>
      <c r="H92">
        <v>9</v>
      </c>
      <c r="I92">
        <v>150</v>
      </c>
      <c r="J92">
        <v>38551</v>
      </c>
      <c r="K92">
        <v>3</v>
      </c>
      <c r="L92">
        <v>108</v>
      </c>
      <c r="M92" s="11">
        <v>69142982</v>
      </c>
      <c r="N92">
        <v>409259</v>
      </c>
      <c r="O92" s="3">
        <v>8</v>
      </c>
      <c r="Q92">
        <v>3.5</v>
      </c>
      <c r="R92">
        <v>3.4</v>
      </c>
      <c r="S92">
        <v>34</v>
      </c>
      <c r="T92">
        <v>95</v>
      </c>
      <c r="U92" t="s">
        <v>23</v>
      </c>
      <c r="V92" s="11">
        <v>79</v>
      </c>
      <c r="W92" t="s">
        <v>65</v>
      </c>
    </row>
    <row r="93" spans="1:29" x14ac:dyDescent="0.3">
      <c r="A93" t="s">
        <v>10</v>
      </c>
      <c r="B93" t="s">
        <v>17</v>
      </c>
      <c r="C93">
        <v>156</v>
      </c>
      <c r="D93">
        <v>44</v>
      </c>
      <c r="E93">
        <v>467</v>
      </c>
      <c r="F93">
        <v>106</v>
      </c>
      <c r="G93">
        <v>0</v>
      </c>
      <c r="H93">
        <v>9</v>
      </c>
      <c r="I93">
        <v>150</v>
      </c>
      <c r="J93">
        <v>35200</v>
      </c>
      <c r="K93">
        <v>3</v>
      </c>
      <c r="L93">
        <v>108</v>
      </c>
      <c r="M93" s="11">
        <v>68142982</v>
      </c>
      <c r="N93">
        <v>407623</v>
      </c>
      <c r="O93" s="3">
        <v>8</v>
      </c>
      <c r="Q93">
        <v>3.2</v>
      </c>
      <c r="R93">
        <v>3.5</v>
      </c>
      <c r="S93">
        <v>30</v>
      </c>
      <c r="T93">
        <v>98</v>
      </c>
      <c r="U93" t="s">
        <v>23</v>
      </c>
      <c r="V93" s="11">
        <v>65</v>
      </c>
      <c r="W93" t="s">
        <v>65</v>
      </c>
    </row>
    <row r="94" spans="1:29" x14ac:dyDescent="0.3">
      <c r="A94" t="s">
        <v>10</v>
      </c>
      <c r="B94" t="s">
        <v>18</v>
      </c>
      <c r="C94">
        <v>6.36</v>
      </c>
      <c r="D94">
        <v>44</v>
      </c>
      <c r="E94">
        <v>467</v>
      </c>
      <c r="F94">
        <v>106</v>
      </c>
      <c r="G94">
        <v>0</v>
      </c>
      <c r="H94">
        <v>9</v>
      </c>
      <c r="I94">
        <v>150</v>
      </c>
      <c r="J94">
        <v>609</v>
      </c>
      <c r="K94">
        <v>3</v>
      </c>
      <c r="L94">
        <v>108</v>
      </c>
      <c r="M94" s="11">
        <v>69142982</v>
      </c>
      <c r="N94">
        <v>435327</v>
      </c>
      <c r="O94" s="3">
        <v>8</v>
      </c>
      <c r="Q94">
        <v>3.5</v>
      </c>
      <c r="R94">
        <v>1.4</v>
      </c>
      <c r="S94">
        <v>30</v>
      </c>
      <c r="T94">
        <v>100</v>
      </c>
      <c r="U94" t="s">
        <v>23</v>
      </c>
      <c r="V94" s="11">
        <v>55</v>
      </c>
      <c r="W94" t="s">
        <v>65</v>
      </c>
    </row>
    <row r="95" spans="1:29" s="3" customFormat="1" x14ac:dyDescent="0.3">
      <c r="A95" s="3" t="s">
        <v>10</v>
      </c>
      <c r="B95" s="3" t="s">
        <v>19</v>
      </c>
      <c r="C95" s="3">
        <v>6.07</v>
      </c>
      <c r="D95">
        <v>44</v>
      </c>
      <c r="E95">
        <v>467</v>
      </c>
      <c r="F95">
        <v>106</v>
      </c>
      <c r="G95">
        <v>0</v>
      </c>
      <c r="H95">
        <v>9</v>
      </c>
      <c r="I95">
        <v>150</v>
      </c>
      <c r="J95" s="3">
        <v>612</v>
      </c>
      <c r="K95" s="3">
        <v>3</v>
      </c>
      <c r="L95" s="3">
        <v>108</v>
      </c>
      <c r="M95" s="11">
        <v>68508766</v>
      </c>
      <c r="N95" s="3">
        <v>404917</v>
      </c>
      <c r="O95" s="3">
        <v>8</v>
      </c>
      <c r="P95" s="11"/>
      <c r="Q95" s="3">
        <v>2.6</v>
      </c>
      <c r="R95" s="3">
        <v>1.8</v>
      </c>
      <c r="S95" s="3">
        <v>32</v>
      </c>
      <c r="T95" s="3">
        <v>100</v>
      </c>
      <c r="U95" s="3" t="s">
        <v>23</v>
      </c>
      <c r="V95" s="11">
        <v>49</v>
      </c>
      <c r="W95" t="s">
        <v>65</v>
      </c>
    </row>
    <row r="96" spans="1:29" s="3" customFormat="1" x14ac:dyDescent="0.3">
      <c r="A96" s="3" t="s">
        <v>12</v>
      </c>
      <c r="B96" s="3" t="s">
        <v>16</v>
      </c>
      <c r="C96" s="3">
        <v>157</v>
      </c>
      <c r="D96" s="3">
        <v>53</v>
      </c>
      <c r="E96" s="3">
        <v>511</v>
      </c>
      <c r="F96" s="3">
        <v>114</v>
      </c>
      <c r="G96" s="3">
        <v>1</v>
      </c>
      <c r="H96" s="3">
        <v>10</v>
      </c>
      <c r="I96" s="3">
        <v>162</v>
      </c>
      <c r="J96" s="3">
        <v>37503</v>
      </c>
      <c r="K96" s="3">
        <v>3</v>
      </c>
      <c r="L96" s="3">
        <v>124</v>
      </c>
      <c r="O96" s="3">
        <v>8</v>
      </c>
      <c r="Q96" s="3">
        <v>5.0999999999999996</v>
      </c>
      <c r="R96" s="3">
        <v>2.9</v>
      </c>
      <c r="S96" s="3">
        <v>54</v>
      </c>
      <c r="T96" s="3">
        <v>100</v>
      </c>
      <c r="U96" s="3" t="s">
        <v>23</v>
      </c>
      <c r="V96" s="3">
        <v>67</v>
      </c>
      <c r="W96" t="s">
        <v>65</v>
      </c>
      <c r="AC96" s="3" t="s">
        <v>30</v>
      </c>
    </row>
    <row r="97" spans="1:29" s="3" customFormat="1" x14ac:dyDescent="0.3">
      <c r="A97" s="3" t="s">
        <v>12</v>
      </c>
      <c r="B97" s="3" t="s">
        <v>17</v>
      </c>
      <c r="C97" s="3">
        <v>156</v>
      </c>
      <c r="D97" s="3">
        <v>53</v>
      </c>
      <c r="E97" s="3">
        <v>511</v>
      </c>
      <c r="F97" s="3">
        <v>114</v>
      </c>
      <c r="G97" s="3">
        <v>1</v>
      </c>
      <c r="H97" s="3">
        <v>10</v>
      </c>
      <c r="I97" s="3">
        <v>162</v>
      </c>
      <c r="J97" s="3">
        <v>33401</v>
      </c>
      <c r="K97" s="3">
        <v>3</v>
      </c>
      <c r="L97" s="3">
        <v>124</v>
      </c>
      <c r="O97" s="3">
        <v>8</v>
      </c>
      <c r="Q97" s="3">
        <v>5.2</v>
      </c>
      <c r="R97" s="3">
        <v>2.8</v>
      </c>
      <c r="S97" s="3">
        <v>53</v>
      </c>
      <c r="T97" s="3">
        <v>100</v>
      </c>
      <c r="U97" s="3" t="s">
        <v>23</v>
      </c>
      <c r="V97" s="3">
        <v>49</v>
      </c>
      <c r="W97" t="s">
        <v>65</v>
      </c>
    </row>
    <row r="98" spans="1:29" s="3" customFormat="1" x14ac:dyDescent="0.3">
      <c r="A98" s="3" t="s">
        <v>12</v>
      </c>
      <c r="B98" s="3" t="s">
        <v>18</v>
      </c>
      <c r="C98" s="3">
        <v>6.36</v>
      </c>
      <c r="D98" s="3">
        <v>53</v>
      </c>
      <c r="E98" s="3">
        <v>511</v>
      </c>
      <c r="F98" s="3">
        <v>114</v>
      </c>
      <c r="G98" s="3">
        <v>1</v>
      </c>
      <c r="H98" s="3">
        <v>10</v>
      </c>
      <c r="I98" s="3">
        <v>162</v>
      </c>
      <c r="J98" s="3">
        <v>537</v>
      </c>
      <c r="K98" s="3">
        <v>3</v>
      </c>
      <c r="L98" s="3">
        <v>124</v>
      </c>
      <c r="M98" s="3">
        <v>34815168</v>
      </c>
      <c r="N98" s="3">
        <v>137380</v>
      </c>
      <c r="O98" s="3">
        <v>8</v>
      </c>
      <c r="Q98" s="3">
        <v>5.2</v>
      </c>
      <c r="R98" s="3">
        <v>3.8</v>
      </c>
      <c r="S98" s="3">
        <v>60</v>
      </c>
      <c r="T98" s="3">
        <v>97</v>
      </c>
      <c r="U98" s="3" t="s">
        <v>23</v>
      </c>
      <c r="V98" s="3">
        <v>45</v>
      </c>
      <c r="W98" t="s">
        <v>65</v>
      </c>
    </row>
    <row r="99" spans="1:29" s="3" customFormat="1" x14ac:dyDescent="0.3">
      <c r="A99" s="3" t="s">
        <v>12</v>
      </c>
      <c r="B99" s="3" t="s">
        <v>19</v>
      </c>
      <c r="C99" s="3">
        <v>6.07</v>
      </c>
      <c r="D99" s="3">
        <v>53</v>
      </c>
      <c r="E99" s="3">
        <v>511</v>
      </c>
      <c r="F99" s="3">
        <v>114</v>
      </c>
      <c r="G99" s="3">
        <v>1</v>
      </c>
      <c r="H99" s="3">
        <v>10</v>
      </c>
      <c r="I99" s="3">
        <v>162</v>
      </c>
      <c r="J99" s="3">
        <v>598</v>
      </c>
      <c r="K99" s="3">
        <v>3</v>
      </c>
      <c r="L99" s="3">
        <v>124</v>
      </c>
      <c r="M99" s="3">
        <v>35172597</v>
      </c>
      <c r="N99" s="3">
        <v>139095</v>
      </c>
      <c r="O99" s="3">
        <v>8</v>
      </c>
      <c r="Q99" s="3">
        <v>5.2</v>
      </c>
      <c r="R99" s="3">
        <v>5.2</v>
      </c>
      <c r="S99" s="3">
        <v>54</v>
      </c>
      <c r="T99" s="3">
        <v>98</v>
      </c>
      <c r="U99" s="3" t="s">
        <v>23</v>
      </c>
      <c r="V99" s="3">
        <v>55</v>
      </c>
      <c r="W99" t="s">
        <v>65</v>
      </c>
    </row>
    <row r="100" spans="1:29" x14ac:dyDescent="0.3">
      <c r="A100" t="s">
        <v>9</v>
      </c>
      <c r="B100" t="s">
        <v>31</v>
      </c>
      <c r="C100">
        <v>51.7</v>
      </c>
      <c r="D100">
        <v>6</v>
      </c>
      <c r="E100">
        <v>265</v>
      </c>
      <c r="F100">
        <v>90</v>
      </c>
      <c r="G100">
        <v>9</v>
      </c>
      <c r="H100">
        <v>6</v>
      </c>
      <c r="I100">
        <v>133</v>
      </c>
      <c r="J100">
        <v>6.12</v>
      </c>
      <c r="K100">
        <v>5</v>
      </c>
      <c r="L100" s="3">
        <v>144</v>
      </c>
      <c r="M100" s="11">
        <v>208376</v>
      </c>
      <c r="N100">
        <v>453</v>
      </c>
      <c r="O100" s="3">
        <v>100</v>
      </c>
      <c r="Q100">
        <v>50.4</v>
      </c>
      <c r="R100">
        <v>3.6</v>
      </c>
      <c r="S100">
        <v>75</v>
      </c>
      <c r="T100">
        <v>100</v>
      </c>
      <c r="U100" t="s">
        <v>23</v>
      </c>
      <c r="V100" s="11">
        <v>55</v>
      </c>
      <c r="W100" t="s">
        <v>65</v>
      </c>
    </row>
    <row r="101" spans="1:29" x14ac:dyDescent="0.3">
      <c r="A101" t="s">
        <v>9</v>
      </c>
      <c r="B101" t="s">
        <v>32</v>
      </c>
      <c r="C101">
        <v>101.5</v>
      </c>
      <c r="D101">
        <v>6</v>
      </c>
      <c r="E101">
        <v>265</v>
      </c>
      <c r="F101">
        <v>90</v>
      </c>
      <c r="G101">
        <v>9</v>
      </c>
      <c r="H101">
        <v>6</v>
      </c>
      <c r="I101">
        <v>133</v>
      </c>
      <c r="J101">
        <v>9</v>
      </c>
      <c r="K101">
        <v>5</v>
      </c>
      <c r="L101" s="3">
        <v>144</v>
      </c>
      <c r="M101" s="11">
        <v>207585</v>
      </c>
      <c r="N101">
        <v>453</v>
      </c>
      <c r="O101" s="3">
        <v>100</v>
      </c>
      <c r="Q101">
        <v>51.2</v>
      </c>
      <c r="R101">
        <v>3.8</v>
      </c>
      <c r="S101">
        <v>72</v>
      </c>
      <c r="T101">
        <v>99</v>
      </c>
      <c r="U101" t="s">
        <v>23</v>
      </c>
      <c r="V101" s="11">
        <v>48</v>
      </c>
      <c r="W101" t="s">
        <v>65</v>
      </c>
    </row>
    <row r="102" spans="1:29" x14ac:dyDescent="0.3">
      <c r="A102" t="s">
        <v>9</v>
      </c>
      <c r="B102" t="s">
        <v>33</v>
      </c>
      <c r="C102">
        <v>150.9</v>
      </c>
      <c r="D102">
        <v>6</v>
      </c>
      <c r="E102">
        <v>265</v>
      </c>
      <c r="F102">
        <v>90</v>
      </c>
      <c r="G102">
        <v>9</v>
      </c>
      <c r="H102">
        <v>6</v>
      </c>
      <c r="I102">
        <v>133</v>
      </c>
      <c r="J102">
        <v>12.13</v>
      </c>
      <c r="K102">
        <v>5</v>
      </c>
      <c r="L102" s="3">
        <v>144</v>
      </c>
      <c r="M102" s="11">
        <v>207377</v>
      </c>
      <c r="N102">
        <v>453</v>
      </c>
      <c r="O102" s="3">
        <v>100</v>
      </c>
      <c r="Q102">
        <v>52.3</v>
      </c>
      <c r="R102">
        <v>3.1</v>
      </c>
      <c r="S102">
        <v>65</v>
      </c>
      <c r="T102">
        <v>99</v>
      </c>
      <c r="U102" t="s">
        <v>23</v>
      </c>
      <c r="V102" s="11">
        <v>50</v>
      </c>
      <c r="W102" t="s">
        <v>65</v>
      </c>
    </row>
    <row r="103" spans="1:29" x14ac:dyDescent="0.3">
      <c r="A103" t="s">
        <v>9</v>
      </c>
      <c r="B103" t="s">
        <v>34</v>
      </c>
      <c r="C103">
        <v>201.5</v>
      </c>
      <c r="D103">
        <v>6</v>
      </c>
      <c r="E103">
        <v>265</v>
      </c>
      <c r="F103">
        <v>90</v>
      </c>
      <c r="G103">
        <v>9</v>
      </c>
      <c r="H103">
        <v>6</v>
      </c>
      <c r="I103">
        <v>133</v>
      </c>
      <c r="J103">
        <v>15.32</v>
      </c>
      <c r="K103">
        <v>5</v>
      </c>
      <c r="L103" s="3">
        <v>144</v>
      </c>
      <c r="M103" s="11">
        <v>208228</v>
      </c>
      <c r="N103">
        <v>453</v>
      </c>
      <c r="O103" s="3">
        <v>100</v>
      </c>
      <c r="Q103">
        <v>51.1</v>
      </c>
      <c r="R103">
        <v>4</v>
      </c>
      <c r="S103">
        <v>65</v>
      </c>
      <c r="T103">
        <v>92</v>
      </c>
      <c r="U103" t="s">
        <v>23</v>
      </c>
      <c r="V103" s="11">
        <v>63</v>
      </c>
      <c r="W103" t="s">
        <v>65</v>
      </c>
    </row>
    <row r="104" spans="1:29" x14ac:dyDescent="0.3">
      <c r="A104" t="s">
        <v>37</v>
      </c>
      <c r="B104" t="s">
        <v>31</v>
      </c>
      <c r="C104">
        <v>51.7</v>
      </c>
      <c r="D104">
        <v>6</v>
      </c>
      <c r="E104">
        <v>265</v>
      </c>
      <c r="F104">
        <v>90</v>
      </c>
      <c r="G104">
        <v>9</v>
      </c>
      <c r="H104">
        <v>6</v>
      </c>
      <c r="I104">
        <v>133</v>
      </c>
      <c r="J104">
        <v>4.21</v>
      </c>
      <c r="K104">
        <v>5</v>
      </c>
      <c r="L104" s="3">
        <v>133</v>
      </c>
      <c r="M104" s="11">
        <v>197117</v>
      </c>
      <c r="N104">
        <v>327</v>
      </c>
      <c r="O104" s="3">
        <v>100</v>
      </c>
      <c r="Q104">
        <v>50.9</v>
      </c>
      <c r="R104">
        <v>3.7</v>
      </c>
      <c r="S104">
        <v>66</v>
      </c>
      <c r="T104">
        <v>92</v>
      </c>
      <c r="U104" t="s">
        <v>23</v>
      </c>
      <c r="V104" s="11">
        <v>42</v>
      </c>
      <c r="W104" t="s">
        <v>65</v>
      </c>
      <c r="AC104" t="s">
        <v>35</v>
      </c>
    </row>
    <row r="105" spans="1:29" x14ac:dyDescent="0.3">
      <c r="A105" t="s">
        <v>37</v>
      </c>
      <c r="B105" t="s">
        <v>32</v>
      </c>
      <c r="C105">
        <v>101.5</v>
      </c>
      <c r="D105">
        <v>6</v>
      </c>
      <c r="E105">
        <v>265</v>
      </c>
      <c r="F105">
        <v>90</v>
      </c>
      <c r="G105">
        <v>9</v>
      </c>
      <c r="H105">
        <v>6</v>
      </c>
      <c r="I105">
        <v>133</v>
      </c>
      <c r="J105">
        <v>6.23</v>
      </c>
      <c r="K105">
        <v>5</v>
      </c>
      <c r="L105" s="3">
        <v>133</v>
      </c>
      <c r="M105" s="11">
        <v>196929</v>
      </c>
      <c r="N105">
        <v>327</v>
      </c>
      <c r="O105" s="3">
        <v>100</v>
      </c>
      <c r="Q105">
        <v>50.6</v>
      </c>
      <c r="R105">
        <v>3.8</v>
      </c>
      <c r="S105">
        <v>51</v>
      </c>
      <c r="T105">
        <v>74</v>
      </c>
      <c r="U105" t="s">
        <v>23</v>
      </c>
      <c r="V105" s="11">
        <v>50</v>
      </c>
      <c r="W105" t="s">
        <v>65</v>
      </c>
    </row>
    <row r="106" spans="1:29" x14ac:dyDescent="0.3">
      <c r="A106" t="s">
        <v>37</v>
      </c>
      <c r="B106" t="s">
        <v>33</v>
      </c>
      <c r="C106">
        <v>150.9</v>
      </c>
      <c r="D106">
        <v>6</v>
      </c>
      <c r="E106">
        <v>265</v>
      </c>
      <c r="F106">
        <v>90</v>
      </c>
      <c r="G106">
        <v>9</v>
      </c>
      <c r="H106">
        <v>6</v>
      </c>
      <c r="I106">
        <v>133</v>
      </c>
      <c r="J106">
        <v>8.1199999999999992</v>
      </c>
      <c r="K106">
        <v>5</v>
      </c>
      <c r="L106" s="3">
        <v>133</v>
      </c>
      <c r="M106" s="11">
        <v>196631</v>
      </c>
      <c r="N106">
        <v>327</v>
      </c>
      <c r="O106" s="3">
        <v>100</v>
      </c>
      <c r="Q106">
        <v>52.1</v>
      </c>
      <c r="R106">
        <v>4</v>
      </c>
      <c r="S106">
        <v>32</v>
      </c>
      <c r="T106">
        <v>42</v>
      </c>
      <c r="U106" t="s">
        <v>23</v>
      </c>
      <c r="V106" s="11">
        <v>52</v>
      </c>
      <c r="W106" t="s">
        <v>65</v>
      </c>
    </row>
    <row r="107" spans="1:29" x14ac:dyDescent="0.3">
      <c r="A107" t="s">
        <v>37</v>
      </c>
      <c r="B107" t="s">
        <v>34</v>
      </c>
      <c r="C107">
        <v>201.5</v>
      </c>
      <c r="D107">
        <v>6</v>
      </c>
      <c r="E107">
        <v>265</v>
      </c>
      <c r="F107">
        <v>90</v>
      </c>
      <c r="G107">
        <v>9</v>
      </c>
      <c r="H107">
        <v>6</v>
      </c>
      <c r="I107">
        <v>133</v>
      </c>
      <c r="J107">
        <v>10.7</v>
      </c>
      <c r="K107">
        <v>5</v>
      </c>
      <c r="L107" s="3">
        <v>133</v>
      </c>
      <c r="M107" s="11">
        <v>197235</v>
      </c>
      <c r="N107">
        <v>327</v>
      </c>
      <c r="O107" s="3">
        <v>100</v>
      </c>
      <c r="Q107">
        <v>50.9</v>
      </c>
      <c r="R107">
        <v>4.0999999999999996</v>
      </c>
      <c r="S107">
        <v>37</v>
      </c>
      <c r="T107">
        <v>50</v>
      </c>
      <c r="U107" t="s">
        <v>23</v>
      </c>
      <c r="V107" s="11">
        <v>49</v>
      </c>
      <c r="W107" t="s">
        <v>65</v>
      </c>
    </row>
    <row r="108" spans="1:29" x14ac:dyDescent="0.3">
      <c r="A108" t="s">
        <v>38</v>
      </c>
      <c r="B108" t="s">
        <v>31</v>
      </c>
      <c r="C108">
        <v>51.7</v>
      </c>
      <c r="D108">
        <v>6</v>
      </c>
      <c r="E108">
        <v>265</v>
      </c>
      <c r="F108">
        <v>90</v>
      </c>
      <c r="G108">
        <v>9</v>
      </c>
      <c r="H108">
        <v>6</v>
      </c>
      <c r="I108">
        <v>133</v>
      </c>
      <c r="J108">
        <v>5.9</v>
      </c>
      <c r="K108">
        <v>5</v>
      </c>
      <c r="L108" s="3">
        <v>138</v>
      </c>
      <c r="M108" s="11">
        <v>202587</v>
      </c>
      <c r="N108">
        <v>390</v>
      </c>
      <c r="O108" s="3">
        <v>100</v>
      </c>
      <c r="Q108">
        <v>50.8</v>
      </c>
      <c r="R108">
        <v>4.0999999999999996</v>
      </c>
      <c r="S108">
        <v>36</v>
      </c>
      <c r="T108">
        <v>50</v>
      </c>
      <c r="U108" t="s">
        <v>23</v>
      </c>
      <c r="V108" s="11">
        <v>51</v>
      </c>
      <c r="W108" t="s">
        <v>65</v>
      </c>
    </row>
    <row r="109" spans="1:29" x14ac:dyDescent="0.3">
      <c r="A109" t="s">
        <v>38</v>
      </c>
      <c r="B109" t="s">
        <v>32</v>
      </c>
      <c r="C109">
        <v>101.5</v>
      </c>
      <c r="D109">
        <v>6</v>
      </c>
      <c r="E109">
        <v>265</v>
      </c>
      <c r="F109">
        <v>90</v>
      </c>
      <c r="G109">
        <v>9</v>
      </c>
      <c r="H109">
        <v>6</v>
      </c>
      <c r="I109">
        <v>133</v>
      </c>
      <c r="J109">
        <v>8.1</v>
      </c>
      <c r="K109">
        <v>5</v>
      </c>
      <c r="L109" s="3">
        <v>138</v>
      </c>
      <c r="M109" s="11">
        <v>202159</v>
      </c>
      <c r="N109">
        <v>390</v>
      </c>
      <c r="O109" s="3">
        <v>100</v>
      </c>
      <c r="Q109">
        <v>51.2</v>
      </c>
      <c r="R109">
        <v>17.100000000000001</v>
      </c>
      <c r="S109">
        <v>67</v>
      </c>
      <c r="T109">
        <v>99</v>
      </c>
      <c r="U109" t="s">
        <v>23</v>
      </c>
      <c r="V109" s="11">
        <v>51</v>
      </c>
      <c r="W109" t="s">
        <v>65</v>
      </c>
    </row>
    <row r="110" spans="1:29" x14ac:dyDescent="0.3">
      <c r="A110" t="s">
        <v>38</v>
      </c>
      <c r="B110" t="s">
        <v>33</v>
      </c>
      <c r="C110">
        <v>150.9</v>
      </c>
      <c r="D110">
        <v>6</v>
      </c>
      <c r="E110">
        <v>265</v>
      </c>
      <c r="F110">
        <v>90</v>
      </c>
      <c r="G110">
        <v>9</v>
      </c>
      <c r="H110">
        <v>6</v>
      </c>
      <c r="I110">
        <v>133</v>
      </c>
      <c r="J110">
        <v>9.3000000000000007</v>
      </c>
      <c r="K110">
        <v>5</v>
      </c>
      <c r="L110" s="3">
        <v>138</v>
      </c>
      <c r="M110" s="11">
        <v>202193</v>
      </c>
      <c r="N110">
        <v>390</v>
      </c>
      <c r="O110" s="3">
        <v>100</v>
      </c>
      <c r="Q110">
        <v>55</v>
      </c>
      <c r="R110">
        <v>14</v>
      </c>
      <c r="S110">
        <v>61</v>
      </c>
      <c r="T110">
        <v>97</v>
      </c>
      <c r="U110" t="s">
        <v>23</v>
      </c>
      <c r="V110" s="11">
        <v>62</v>
      </c>
      <c r="W110" t="s">
        <v>65</v>
      </c>
    </row>
    <row r="111" spans="1:29" x14ac:dyDescent="0.3">
      <c r="A111" t="s">
        <v>38</v>
      </c>
      <c r="B111" t="s">
        <v>34</v>
      </c>
      <c r="C111">
        <v>201.5</v>
      </c>
      <c r="D111">
        <v>6</v>
      </c>
      <c r="E111">
        <v>265</v>
      </c>
      <c r="F111">
        <v>90</v>
      </c>
      <c r="G111">
        <v>9</v>
      </c>
      <c r="H111">
        <v>6</v>
      </c>
      <c r="I111">
        <v>133</v>
      </c>
      <c r="J111">
        <v>12.37</v>
      </c>
      <c r="K111">
        <v>5</v>
      </c>
      <c r="L111" s="3">
        <v>138</v>
      </c>
      <c r="M111" s="11">
        <v>203055</v>
      </c>
      <c r="N111">
        <v>390</v>
      </c>
      <c r="O111" s="3">
        <v>100</v>
      </c>
      <c r="Q111">
        <v>56</v>
      </c>
      <c r="R111">
        <v>16.3</v>
      </c>
      <c r="S111">
        <v>64</v>
      </c>
      <c r="T111">
        <v>100</v>
      </c>
      <c r="U111" t="s">
        <v>23</v>
      </c>
      <c r="V111" s="11">
        <v>69</v>
      </c>
      <c r="W111" t="s">
        <v>65</v>
      </c>
    </row>
    <row r="112" spans="1:29" x14ac:dyDescent="0.3">
      <c r="A112" t="s">
        <v>39</v>
      </c>
      <c r="B112" t="s">
        <v>31</v>
      </c>
      <c r="C112">
        <v>51.7</v>
      </c>
      <c r="D112">
        <v>6</v>
      </c>
      <c r="E112">
        <v>265</v>
      </c>
      <c r="F112">
        <v>90</v>
      </c>
      <c r="G112">
        <v>9</v>
      </c>
      <c r="H112">
        <v>6</v>
      </c>
      <c r="I112">
        <v>133</v>
      </c>
      <c r="J112">
        <v>2.2000000000000002</v>
      </c>
      <c r="K112">
        <v>5</v>
      </c>
      <c r="L112" s="3">
        <v>132</v>
      </c>
      <c r="M112" s="11">
        <v>193330</v>
      </c>
      <c r="N112">
        <v>451</v>
      </c>
      <c r="O112" s="3">
        <v>100</v>
      </c>
      <c r="Q112">
        <v>52</v>
      </c>
      <c r="R112">
        <v>13</v>
      </c>
      <c r="S112">
        <v>74</v>
      </c>
      <c r="T112">
        <v>99</v>
      </c>
      <c r="U112" t="s">
        <v>23</v>
      </c>
      <c r="V112" s="11">
        <v>67</v>
      </c>
      <c r="W112" t="s">
        <v>65</v>
      </c>
    </row>
    <row r="113" spans="1:23" x14ac:dyDescent="0.3">
      <c r="A113" t="s">
        <v>39</v>
      </c>
      <c r="B113" t="s">
        <v>32</v>
      </c>
      <c r="C113">
        <v>101.5</v>
      </c>
      <c r="D113">
        <v>6</v>
      </c>
      <c r="E113">
        <v>265</v>
      </c>
      <c r="F113">
        <v>90</v>
      </c>
      <c r="G113">
        <v>9</v>
      </c>
      <c r="H113">
        <v>6</v>
      </c>
      <c r="I113">
        <v>133</v>
      </c>
      <c r="J113">
        <v>5.0999999999999996</v>
      </c>
      <c r="K113">
        <v>5</v>
      </c>
      <c r="L113" s="3">
        <v>132</v>
      </c>
      <c r="M113" s="11">
        <v>193195</v>
      </c>
      <c r="N113">
        <v>222</v>
      </c>
      <c r="O113" s="3">
        <v>100</v>
      </c>
      <c r="Q113">
        <v>53</v>
      </c>
      <c r="R113">
        <v>17</v>
      </c>
      <c r="S113">
        <v>55</v>
      </c>
      <c r="T113">
        <v>89</v>
      </c>
      <c r="U113" t="s">
        <v>23</v>
      </c>
      <c r="V113" s="11">
        <v>70</v>
      </c>
      <c r="W113" t="s">
        <v>65</v>
      </c>
    </row>
    <row r="114" spans="1:23" x14ac:dyDescent="0.3">
      <c r="A114" t="s">
        <v>39</v>
      </c>
      <c r="B114" t="s">
        <v>33</v>
      </c>
      <c r="C114">
        <v>150.9</v>
      </c>
      <c r="D114">
        <v>6</v>
      </c>
      <c r="E114">
        <v>265</v>
      </c>
      <c r="F114">
        <v>90</v>
      </c>
      <c r="G114">
        <v>9</v>
      </c>
      <c r="H114">
        <v>6</v>
      </c>
      <c r="I114">
        <v>133</v>
      </c>
      <c r="J114">
        <v>5.7</v>
      </c>
      <c r="K114">
        <v>5</v>
      </c>
      <c r="L114" s="3">
        <v>132</v>
      </c>
      <c r="M114" s="11">
        <v>192989</v>
      </c>
      <c r="N114">
        <v>292</v>
      </c>
      <c r="O114" s="3">
        <v>100</v>
      </c>
      <c r="Q114">
        <v>54.1</v>
      </c>
      <c r="R114">
        <v>20</v>
      </c>
      <c r="S114">
        <v>42</v>
      </c>
      <c r="T114">
        <v>59</v>
      </c>
      <c r="U114" t="s">
        <v>23</v>
      </c>
      <c r="V114" s="11">
        <v>68</v>
      </c>
      <c r="W114" t="s">
        <v>65</v>
      </c>
    </row>
    <row r="115" spans="1:23" x14ac:dyDescent="0.3">
      <c r="A115" t="s">
        <v>39</v>
      </c>
      <c r="B115" t="s">
        <v>34</v>
      </c>
      <c r="C115">
        <v>201.5</v>
      </c>
      <c r="D115">
        <v>6</v>
      </c>
      <c r="E115">
        <v>265</v>
      </c>
      <c r="F115">
        <v>90</v>
      </c>
      <c r="G115">
        <v>9</v>
      </c>
      <c r="H115">
        <v>6</v>
      </c>
      <c r="I115">
        <v>133</v>
      </c>
      <c r="J115">
        <v>6.9</v>
      </c>
      <c r="K115">
        <v>5</v>
      </c>
      <c r="L115" s="3">
        <v>132</v>
      </c>
      <c r="M115" s="11">
        <v>193353</v>
      </c>
      <c r="N115">
        <v>285</v>
      </c>
      <c r="O115" s="3">
        <v>100</v>
      </c>
      <c r="Q115">
        <v>52.3</v>
      </c>
      <c r="R115">
        <v>16</v>
      </c>
      <c r="S115">
        <v>25</v>
      </c>
      <c r="T115">
        <v>45</v>
      </c>
      <c r="U115" t="s">
        <v>23</v>
      </c>
      <c r="V115" s="11">
        <v>66</v>
      </c>
      <c r="W115" t="s">
        <v>65</v>
      </c>
    </row>
    <row r="116" spans="1:23" x14ac:dyDescent="0.3">
      <c r="A116" t="s">
        <v>11</v>
      </c>
      <c r="B116" t="s">
        <v>31</v>
      </c>
      <c r="C116">
        <v>51.7</v>
      </c>
      <c r="D116">
        <v>0</v>
      </c>
      <c r="E116">
        <v>19</v>
      </c>
      <c r="F116">
        <v>9</v>
      </c>
      <c r="G116">
        <v>0</v>
      </c>
      <c r="H116">
        <v>0</v>
      </c>
      <c r="I116">
        <v>16</v>
      </c>
      <c r="J116">
        <v>34.68</v>
      </c>
      <c r="K116">
        <v>1</v>
      </c>
      <c r="L116" s="3">
        <v>25.6</v>
      </c>
      <c r="M116" s="11">
        <v>7583593</v>
      </c>
      <c r="N116">
        <v>235419</v>
      </c>
      <c r="O116" s="3">
        <v>32</v>
      </c>
      <c r="Q116">
        <v>4.5999999999999996</v>
      </c>
      <c r="R116">
        <v>2.6</v>
      </c>
      <c r="S116">
        <v>35</v>
      </c>
      <c r="T116">
        <v>80</v>
      </c>
      <c r="U116" t="s">
        <v>23</v>
      </c>
      <c r="V116" s="11">
        <v>45</v>
      </c>
      <c r="W116" t="s">
        <v>65</v>
      </c>
    </row>
    <row r="117" spans="1:23" x14ac:dyDescent="0.3">
      <c r="A117" t="s">
        <v>11</v>
      </c>
      <c r="B117" t="s">
        <v>32</v>
      </c>
      <c r="C117">
        <v>101.5</v>
      </c>
      <c r="D117">
        <v>0</v>
      </c>
      <c r="E117">
        <v>19</v>
      </c>
      <c r="F117">
        <v>9</v>
      </c>
      <c r="G117">
        <v>0</v>
      </c>
      <c r="H117">
        <v>0</v>
      </c>
      <c r="I117">
        <v>16</v>
      </c>
      <c r="J117">
        <v>51.87</v>
      </c>
      <c r="K117">
        <v>1</v>
      </c>
      <c r="L117" s="3">
        <v>25.6</v>
      </c>
      <c r="M117" s="11">
        <v>11657510</v>
      </c>
      <c r="N117">
        <v>365042</v>
      </c>
      <c r="O117" s="3">
        <v>32</v>
      </c>
      <c r="Q117">
        <v>3</v>
      </c>
      <c r="R117">
        <v>2.7</v>
      </c>
      <c r="S117">
        <v>41</v>
      </c>
      <c r="T117">
        <v>96</v>
      </c>
      <c r="U117" t="s">
        <v>23</v>
      </c>
      <c r="V117" s="11">
        <v>55</v>
      </c>
      <c r="W117" t="s">
        <v>65</v>
      </c>
    </row>
    <row r="118" spans="1:23" x14ac:dyDescent="0.3">
      <c r="A118" t="s">
        <v>11</v>
      </c>
      <c r="B118" t="s">
        <v>33</v>
      </c>
      <c r="C118">
        <v>150.9</v>
      </c>
      <c r="D118">
        <v>0</v>
      </c>
      <c r="E118">
        <v>19</v>
      </c>
      <c r="F118">
        <v>9</v>
      </c>
      <c r="G118">
        <v>0</v>
      </c>
      <c r="H118">
        <v>0</v>
      </c>
      <c r="I118">
        <v>16</v>
      </c>
      <c r="J118">
        <v>80.099999999999994</v>
      </c>
      <c r="K118">
        <v>1</v>
      </c>
      <c r="L118" s="3">
        <v>25.6</v>
      </c>
      <c r="M118" s="11">
        <v>15814953</v>
      </c>
      <c r="N118">
        <v>491238</v>
      </c>
      <c r="O118" s="3">
        <v>32</v>
      </c>
      <c r="Q118">
        <v>3.8</v>
      </c>
      <c r="R118">
        <v>2.9</v>
      </c>
      <c r="S118">
        <v>33</v>
      </c>
      <c r="T118">
        <v>79</v>
      </c>
      <c r="U118" t="s">
        <v>23</v>
      </c>
      <c r="V118" s="11">
        <v>61</v>
      </c>
      <c r="W118" t="s">
        <v>65</v>
      </c>
    </row>
    <row r="119" spans="1:23" x14ac:dyDescent="0.3">
      <c r="A119" t="s">
        <v>11</v>
      </c>
      <c r="B119" t="s">
        <v>34</v>
      </c>
      <c r="C119">
        <v>201.5</v>
      </c>
      <c r="D119">
        <v>0</v>
      </c>
      <c r="E119">
        <v>19</v>
      </c>
      <c r="F119">
        <v>9</v>
      </c>
      <c r="G119">
        <v>0</v>
      </c>
      <c r="H119">
        <v>0</v>
      </c>
      <c r="I119">
        <v>16</v>
      </c>
      <c r="J119">
        <v>98.21</v>
      </c>
      <c r="K119">
        <v>1</v>
      </c>
      <c r="L119" s="3">
        <v>25.6</v>
      </c>
      <c r="M119" s="11">
        <v>19889706</v>
      </c>
      <c r="N119">
        <v>617861</v>
      </c>
      <c r="O119" s="3">
        <v>32</v>
      </c>
      <c r="Q119">
        <v>2.6</v>
      </c>
      <c r="R119">
        <v>2.8</v>
      </c>
      <c r="S119">
        <v>41</v>
      </c>
      <c r="T119">
        <v>73</v>
      </c>
      <c r="U119" t="s">
        <v>23</v>
      </c>
      <c r="V119" s="11">
        <v>69</v>
      </c>
      <c r="W119" t="s">
        <v>65</v>
      </c>
    </row>
    <row r="120" spans="1:23" s="3" customFormat="1" x14ac:dyDescent="0.3">
      <c r="A120" s="3" t="s">
        <v>15</v>
      </c>
      <c r="B120" s="3" t="s">
        <v>55</v>
      </c>
      <c r="C120" s="3">
        <v>103</v>
      </c>
      <c r="D120" s="3">
        <v>2</v>
      </c>
      <c r="E120" s="3">
        <v>12</v>
      </c>
      <c r="F120" s="3">
        <v>5</v>
      </c>
      <c r="G120" s="3">
        <v>0</v>
      </c>
      <c r="H120" s="3">
        <v>0</v>
      </c>
      <c r="I120" s="3">
        <v>5</v>
      </c>
      <c r="J120" s="3">
        <v>210</v>
      </c>
      <c r="K120" s="3">
        <v>1</v>
      </c>
      <c r="L120" s="3">
        <v>60</v>
      </c>
      <c r="M120" s="11">
        <v>80848023</v>
      </c>
      <c r="N120" s="4">
        <v>957786</v>
      </c>
      <c r="O120" s="3">
        <v>16</v>
      </c>
      <c r="P120" s="11">
        <v>124</v>
      </c>
      <c r="Q120" s="3">
        <v>2.7</v>
      </c>
      <c r="R120" s="3">
        <v>4.3</v>
      </c>
      <c r="S120" s="3">
        <v>88</v>
      </c>
      <c r="T120" s="3">
        <v>11</v>
      </c>
      <c r="U120" s="3" t="s">
        <v>23</v>
      </c>
      <c r="V120" s="11">
        <v>69</v>
      </c>
      <c r="W120" t="s">
        <v>65</v>
      </c>
    </row>
    <row r="121" spans="1:23" s="3" customFormat="1" x14ac:dyDescent="0.3">
      <c r="A121" s="3" t="s">
        <v>15</v>
      </c>
      <c r="B121" s="3" t="s">
        <v>56</v>
      </c>
      <c r="C121" s="3">
        <v>36.799999999999997</v>
      </c>
      <c r="D121" s="3">
        <v>2</v>
      </c>
      <c r="E121" s="3">
        <v>12</v>
      </c>
      <c r="F121" s="3">
        <v>5</v>
      </c>
      <c r="G121" s="3">
        <v>0</v>
      </c>
      <c r="H121" s="3">
        <v>0</v>
      </c>
      <c r="I121" s="3">
        <v>5</v>
      </c>
      <c r="J121" s="3">
        <v>2210</v>
      </c>
      <c r="K121" s="3">
        <v>1</v>
      </c>
      <c r="L121" s="3">
        <v>60</v>
      </c>
      <c r="M121" s="11">
        <v>112241507</v>
      </c>
      <c r="N121" s="3">
        <v>8980</v>
      </c>
      <c r="O121" s="3">
        <v>16</v>
      </c>
      <c r="P121" s="11">
        <v>124</v>
      </c>
      <c r="Q121" s="3">
        <v>2.6</v>
      </c>
      <c r="R121" s="3">
        <v>4.4000000000000004</v>
      </c>
      <c r="S121" s="3">
        <v>87</v>
      </c>
      <c r="T121" s="3">
        <v>7</v>
      </c>
      <c r="U121" s="3" t="s">
        <v>23</v>
      </c>
      <c r="V121" s="11">
        <v>70</v>
      </c>
      <c r="W121" t="s">
        <v>65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EEB04-3801-469C-80A0-F8AA8C989B58}">
  <dimension ref="A1:Y37"/>
  <sheetViews>
    <sheetView workbookViewId="0">
      <selection activeCell="A2" sqref="A2"/>
    </sheetView>
  </sheetViews>
  <sheetFormatPr defaultRowHeight="14.4" x14ac:dyDescent="0.3"/>
  <cols>
    <col min="1" max="1" width="13.77734375" customWidth="1"/>
    <col min="2" max="2" width="21.21875" customWidth="1"/>
    <col min="4" max="4" width="14.21875" customWidth="1"/>
    <col min="6" max="6" width="9.33203125" customWidth="1"/>
  </cols>
  <sheetData>
    <row r="1" spans="1:25" x14ac:dyDescent="0.3">
      <c r="A1" s="1" t="s">
        <v>0</v>
      </c>
      <c r="B1" s="1" t="s">
        <v>1</v>
      </c>
      <c r="C1" s="1" t="s">
        <v>20</v>
      </c>
      <c r="D1" s="1" t="s">
        <v>22</v>
      </c>
      <c r="E1" s="1" t="s">
        <v>36</v>
      </c>
      <c r="F1" s="1" t="s">
        <v>2</v>
      </c>
      <c r="G1" s="1" t="s">
        <v>41</v>
      </c>
      <c r="H1" s="6" t="s">
        <v>48</v>
      </c>
      <c r="I1" s="1" t="s">
        <v>42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3</v>
      </c>
      <c r="O1" s="1" t="s">
        <v>24</v>
      </c>
      <c r="P1" s="1" t="s">
        <v>29</v>
      </c>
      <c r="Q1" s="1" t="s">
        <v>4</v>
      </c>
      <c r="R1" s="1" t="s">
        <v>5</v>
      </c>
      <c r="S1" s="1" t="s">
        <v>6</v>
      </c>
      <c r="T1" s="1" t="s">
        <v>7</v>
      </c>
      <c r="U1" s="1" t="s">
        <v>8</v>
      </c>
    </row>
    <row r="2" spans="1:25" x14ac:dyDescent="0.3">
      <c r="A2" t="s">
        <v>10</v>
      </c>
      <c r="B2" t="s">
        <v>16</v>
      </c>
      <c r="C2">
        <v>157</v>
      </c>
      <c r="D2">
        <v>65</v>
      </c>
      <c r="F2" s="3">
        <v>11307089</v>
      </c>
      <c r="G2" s="3">
        <v>14659</v>
      </c>
      <c r="H2" s="3"/>
      <c r="J2">
        <v>2.6</v>
      </c>
      <c r="K2">
        <v>1.6</v>
      </c>
      <c r="L2">
        <v>26</v>
      </c>
      <c r="M2">
        <v>100</v>
      </c>
      <c r="N2" t="s">
        <v>52</v>
      </c>
      <c r="O2" s="3">
        <v>45</v>
      </c>
      <c r="P2">
        <v>0</v>
      </c>
      <c r="Q2" t="s">
        <v>21</v>
      </c>
    </row>
    <row r="3" spans="1:25" x14ac:dyDescent="0.3">
      <c r="A3" t="s">
        <v>10</v>
      </c>
      <c r="B3" t="s">
        <v>17</v>
      </c>
      <c r="C3">
        <v>156</v>
      </c>
      <c r="D3">
        <v>50.48</v>
      </c>
      <c r="F3" s="3">
        <v>11365202</v>
      </c>
      <c r="G3" s="3">
        <v>14779</v>
      </c>
      <c r="H3" s="3"/>
      <c r="J3">
        <v>2.7</v>
      </c>
      <c r="K3">
        <v>23.9</v>
      </c>
      <c r="L3">
        <v>26</v>
      </c>
      <c r="M3">
        <v>100</v>
      </c>
      <c r="N3" t="s">
        <v>52</v>
      </c>
      <c r="O3">
        <v>28</v>
      </c>
      <c r="P3">
        <v>0</v>
      </c>
      <c r="Q3" t="s">
        <v>21</v>
      </c>
    </row>
    <row r="4" spans="1:25" x14ac:dyDescent="0.3">
      <c r="A4" t="s">
        <v>10</v>
      </c>
      <c r="B4" t="s">
        <v>18</v>
      </c>
      <c r="C4">
        <v>6.36</v>
      </c>
      <c r="D4">
        <v>44</v>
      </c>
      <c r="F4">
        <v>11292740</v>
      </c>
      <c r="G4">
        <v>13989</v>
      </c>
      <c r="H4" s="3"/>
      <c r="J4">
        <v>2.7</v>
      </c>
      <c r="K4">
        <v>1.7</v>
      </c>
      <c r="L4">
        <v>27</v>
      </c>
      <c r="M4">
        <v>100</v>
      </c>
      <c r="N4" t="s">
        <v>52</v>
      </c>
      <c r="O4">
        <v>29</v>
      </c>
      <c r="P4">
        <v>0</v>
      </c>
      <c r="Q4" t="s">
        <v>21</v>
      </c>
    </row>
    <row r="5" spans="1:25" x14ac:dyDescent="0.3">
      <c r="A5" s="3" t="s">
        <v>10</v>
      </c>
      <c r="B5" s="3" t="s">
        <v>19</v>
      </c>
      <c r="C5" s="3">
        <v>6.07</v>
      </c>
      <c r="D5" s="3">
        <v>44</v>
      </c>
      <c r="E5" s="3"/>
      <c r="F5" s="3">
        <v>11298531</v>
      </c>
      <c r="G5" s="3">
        <v>20917</v>
      </c>
      <c r="H5" s="3"/>
      <c r="I5" s="3"/>
      <c r="J5" s="3">
        <v>2.8</v>
      </c>
      <c r="K5" s="3">
        <v>1.8</v>
      </c>
      <c r="L5" s="3">
        <v>26</v>
      </c>
      <c r="M5" s="3">
        <v>100</v>
      </c>
      <c r="N5" t="s">
        <v>52</v>
      </c>
      <c r="O5">
        <v>31</v>
      </c>
      <c r="P5" s="3">
        <v>0</v>
      </c>
      <c r="Q5" s="3" t="s">
        <v>21</v>
      </c>
      <c r="R5" s="3"/>
      <c r="S5" s="3"/>
      <c r="T5" s="3"/>
      <c r="U5" s="3"/>
    </row>
    <row r="6" spans="1:25" s="3" customFormat="1" x14ac:dyDescent="0.3">
      <c r="A6" s="3" t="s">
        <v>12</v>
      </c>
      <c r="B6" s="3" t="s">
        <v>16</v>
      </c>
      <c r="C6" s="3">
        <v>157</v>
      </c>
      <c r="D6" s="3">
        <v>50.737000000000002</v>
      </c>
      <c r="F6" s="3">
        <v>15085871</v>
      </c>
      <c r="G6" s="3">
        <v>5731</v>
      </c>
      <c r="J6">
        <v>2.7</v>
      </c>
      <c r="K6">
        <v>1.7</v>
      </c>
      <c r="L6">
        <v>57</v>
      </c>
      <c r="M6">
        <v>100</v>
      </c>
      <c r="N6" s="3" t="s">
        <v>52</v>
      </c>
      <c r="O6">
        <v>29</v>
      </c>
      <c r="P6" s="3">
        <v>0</v>
      </c>
      <c r="Q6" s="3" t="s">
        <v>21</v>
      </c>
      <c r="Y6" s="3" t="s">
        <v>14</v>
      </c>
    </row>
    <row r="7" spans="1:25" x14ac:dyDescent="0.3">
      <c r="A7" t="s">
        <v>12</v>
      </c>
      <c r="B7" t="s">
        <v>17</v>
      </c>
      <c r="C7">
        <v>156</v>
      </c>
      <c r="D7" s="3">
        <v>51.429000000000002</v>
      </c>
      <c r="F7">
        <v>15098948</v>
      </c>
      <c r="G7" s="3">
        <v>5731</v>
      </c>
      <c r="H7" s="3"/>
      <c r="J7">
        <v>2.7</v>
      </c>
      <c r="K7">
        <v>1.7</v>
      </c>
      <c r="L7">
        <v>56</v>
      </c>
      <c r="M7">
        <v>100</v>
      </c>
      <c r="N7" t="s">
        <v>52</v>
      </c>
      <c r="O7">
        <v>70</v>
      </c>
      <c r="P7">
        <v>0</v>
      </c>
      <c r="Q7" t="s">
        <v>21</v>
      </c>
    </row>
    <row r="8" spans="1:25" x14ac:dyDescent="0.3">
      <c r="A8" s="3" t="s">
        <v>12</v>
      </c>
      <c r="B8" s="3" t="s">
        <v>18</v>
      </c>
      <c r="C8" s="3">
        <v>6.36</v>
      </c>
      <c r="D8" s="3">
        <v>41.905999999999999</v>
      </c>
      <c r="E8" s="3"/>
      <c r="F8" s="3">
        <v>15070207</v>
      </c>
      <c r="G8" s="3">
        <v>5731</v>
      </c>
      <c r="H8" s="3"/>
      <c r="I8" s="3"/>
      <c r="J8" s="3">
        <v>2.7</v>
      </c>
      <c r="K8" s="3">
        <v>1.7</v>
      </c>
      <c r="L8" s="3">
        <v>56</v>
      </c>
      <c r="M8" s="3">
        <v>100</v>
      </c>
      <c r="N8" s="3" t="s">
        <v>52</v>
      </c>
      <c r="O8">
        <v>70</v>
      </c>
      <c r="P8" s="3">
        <v>0</v>
      </c>
      <c r="Q8" s="3" t="s">
        <v>21</v>
      </c>
      <c r="R8" s="3"/>
      <c r="S8" s="3"/>
      <c r="T8" s="3"/>
      <c r="U8" s="3"/>
    </row>
    <row r="9" spans="1:25" x14ac:dyDescent="0.3">
      <c r="A9" s="3" t="s">
        <v>12</v>
      </c>
      <c r="B9" s="3" t="s">
        <v>19</v>
      </c>
      <c r="C9" s="3">
        <v>6.07</v>
      </c>
      <c r="D9" s="3">
        <v>60.508000000000003</v>
      </c>
      <c r="E9" s="3"/>
      <c r="F9" s="3">
        <v>15237865</v>
      </c>
      <c r="G9" s="3">
        <v>5731</v>
      </c>
      <c r="H9" s="3"/>
      <c r="I9" s="3"/>
      <c r="J9" s="3">
        <v>2.7</v>
      </c>
      <c r="K9" s="3">
        <v>1.8</v>
      </c>
      <c r="L9" s="3">
        <v>57</v>
      </c>
      <c r="M9" s="3">
        <v>100</v>
      </c>
      <c r="N9" s="3" t="s">
        <v>52</v>
      </c>
      <c r="O9">
        <v>70</v>
      </c>
      <c r="P9" s="3">
        <v>0</v>
      </c>
      <c r="Q9" s="3" t="s">
        <v>21</v>
      </c>
      <c r="R9" s="3"/>
      <c r="S9" s="3"/>
      <c r="T9" s="3"/>
      <c r="U9" s="3"/>
    </row>
    <row r="10" spans="1:25" x14ac:dyDescent="0.3">
      <c r="A10" t="s">
        <v>9</v>
      </c>
      <c r="B10" t="s">
        <v>34</v>
      </c>
      <c r="C10">
        <v>548</v>
      </c>
      <c r="D10">
        <v>1.8740000000000001</v>
      </c>
      <c r="F10">
        <v>19807</v>
      </c>
      <c r="G10">
        <v>50</v>
      </c>
      <c r="H10" s="3"/>
      <c r="J10">
        <v>7.9</v>
      </c>
      <c r="K10">
        <v>2.6</v>
      </c>
      <c r="L10">
        <v>0</v>
      </c>
      <c r="M10">
        <v>6</v>
      </c>
      <c r="N10" t="s">
        <v>52</v>
      </c>
      <c r="O10">
        <v>77</v>
      </c>
      <c r="P10">
        <v>0</v>
      </c>
      <c r="Q10" t="s">
        <v>21</v>
      </c>
    </row>
    <row r="11" spans="1:25" x14ac:dyDescent="0.3">
      <c r="A11" t="s">
        <v>37</v>
      </c>
      <c r="B11" t="s">
        <v>34</v>
      </c>
      <c r="C11">
        <v>508</v>
      </c>
      <c r="D11">
        <v>1.772</v>
      </c>
      <c r="F11">
        <v>17312</v>
      </c>
      <c r="G11">
        <v>38</v>
      </c>
      <c r="H11" s="3"/>
      <c r="J11">
        <v>7.8</v>
      </c>
      <c r="K11">
        <v>2.4</v>
      </c>
      <c r="L11">
        <v>0</v>
      </c>
      <c r="M11">
        <v>1</v>
      </c>
      <c r="N11" t="s">
        <v>52</v>
      </c>
      <c r="O11" s="3">
        <v>35</v>
      </c>
      <c r="P11">
        <v>0</v>
      </c>
      <c r="Q11" t="s">
        <v>21</v>
      </c>
    </row>
    <row r="12" spans="1:25" x14ac:dyDescent="0.3">
      <c r="A12" t="s">
        <v>38</v>
      </c>
      <c r="B12" t="s">
        <v>34</v>
      </c>
      <c r="C12">
        <v>528</v>
      </c>
      <c r="D12">
        <v>2.1240000000000001</v>
      </c>
      <c r="F12">
        <v>17716</v>
      </c>
      <c r="G12">
        <v>44</v>
      </c>
      <c r="H12" s="3"/>
      <c r="J12">
        <v>11.9</v>
      </c>
      <c r="K12">
        <v>2</v>
      </c>
      <c r="L12">
        <v>0</v>
      </c>
      <c r="M12">
        <v>2</v>
      </c>
      <c r="N12" t="s">
        <v>52</v>
      </c>
      <c r="O12">
        <v>31</v>
      </c>
      <c r="P12">
        <v>0</v>
      </c>
      <c r="Q12" t="s">
        <v>21</v>
      </c>
    </row>
    <row r="13" spans="1:25" x14ac:dyDescent="0.3">
      <c r="A13" t="s">
        <v>39</v>
      </c>
      <c r="B13" t="s">
        <v>34</v>
      </c>
      <c r="C13">
        <v>507</v>
      </c>
      <c r="D13">
        <v>1.8320000000000001</v>
      </c>
      <c r="F13">
        <v>15766</v>
      </c>
      <c r="G13">
        <v>34</v>
      </c>
      <c r="H13" s="3"/>
      <c r="J13">
        <v>10</v>
      </c>
      <c r="K13">
        <v>2.1</v>
      </c>
      <c r="L13">
        <v>0</v>
      </c>
      <c r="M13">
        <v>14</v>
      </c>
      <c r="N13" t="s">
        <v>52</v>
      </c>
      <c r="O13">
        <v>29</v>
      </c>
      <c r="P13">
        <v>0</v>
      </c>
      <c r="Q13" t="s">
        <v>21</v>
      </c>
    </row>
    <row r="14" spans="1:25" x14ac:dyDescent="0.3">
      <c r="A14" t="s">
        <v>11</v>
      </c>
      <c r="B14" t="s">
        <v>31</v>
      </c>
      <c r="C14">
        <v>51.7</v>
      </c>
      <c r="D14">
        <v>3.6509999999999998</v>
      </c>
      <c r="F14">
        <v>356529</v>
      </c>
      <c r="G14">
        <v>26169</v>
      </c>
      <c r="H14" s="3"/>
      <c r="J14">
        <v>20.9</v>
      </c>
      <c r="K14">
        <v>7.9</v>
      </c>
      <c r="L14">
        <v>19</v>
      </c>
      <c r="M14">
        <v>70</v>
      </c>
      <c r="N14" t="s">
        <v>52</v>
      </c>
      <c r="O14">
        <v>70</v>
      </c>
      <c r="P14">
        <v>0</v>
      </c>
      <c r="Q14" t="s">
        <v>21</v>
      </c>
    </row>
    <row r="15" spans="1:25" x14ac:dyDescent="0.3">
      <c r="A15" t="s">
        <v>11</v>
      </c>
      <c r="B15" t="s">
        <v>32</v>
      </c>
      <c r="C15">
        <v>101.5</v>
      </c>
      <c r="D15">
        <v>4.5119999999999996</v>
      </c>
      <c r="F15">
        <v>544334</v>
      </c>
      <c r="G15">
        <v>40079</v>
      </c>
      <c r="H15" s="3"/>
      <c r="J15">
        <v>21</v>
      </c>
      <c r="K15">
        <v>8.1</v>
      </c>
      <c r="L15">
        <v>19</v>
      </c>
      <c r="M15">
        <v>68</v>
      </c>
      <c r="N15" t="s">
        <v>52</v>
      </c>
      <c r="O15">
        <v>70</v>
      </c>
      <c r="P15">
        <v>0</v>
      </c>
      <c r="Q15" t="s">
        <v>21</v>
      </c>
    </row>
    <row r="16" spans="1:25" x14ac:dyDescent="0.3">
      <c r="A16" t="s">
        <v>11</v>
      </c>
      <c r="B16" t="s">
        <v>33</v>
      </c>
      <c r="C16">
        <v>150.9</v>
      </c>
      <c r="D16">
        <v>8.5380000000000003</v>
      </c>
      <c r="F16">
        <v>736417</v>
      </c>
      <c r="G16">
        <v>52272</v>
      </c>
      <c r="H16" s="3"/>
      <c r="J16">
        <v>21</v>
      </c>
      <c r="K16">
        <v>7.8</v>
      </c>
      <c r="L16">
        <v>18</v>
      </c>
      <c r="M16">
        <v>65</v>
      </c>
      <c r="N16" t="s">
        <v>52</v>
      </c>
      <c r="O16">
        <v>70</v>
      </c>
      <c r="P16">
        <v>0</v>
      </c>
      <c r="Q16" t="s">
        <v>21</v>
      </c>
    </row>
    <row r="17" spans="1:21" x14ac:dyDescent="0.3">
      <c r="A17" t="s">
        <v>11</v>
      </c>
      <c r="B17" t="s">
        <v>34</v>
      </c>
      <c r="C17">
        <v>201.5</v>
      </c>
      <c r="D17">
        <v>9.2439999999999998</v>
      </c>
      <c r="F17">
        <v>926181</v>
      </c>
      <c r="G17">
        <v>68442</v>
      </c>
      <c r="H17" s="3"/>
      <c r="J17">
        <v>21.6</v>
      </c>
      <c r="K17">
        <v>9.1</v>
      </c>
      <c r="L17">
        <v>20</v>
      </c>
      <c r="M17">
        <v>70</v>
      </c>
      <c r="N17" t="s">
        <v>52</v>
      </c>
      <c r="O17">
        <v>77</v>
      </c>
      <c r="P17">
        <v>0</v>
      </c>
      <c r="Q17" t="s">
        <v>21</v>
      </c>
    </row>
    <row r="18" spans="1:21" x14ac:dyDescent="0.3">
      <c r="A18" s="3" t="s">
        <v>15</v>
      </c>
      <c r="B18" s="3" t="s">
        <v>44</v>
      </c>
      <c r="C18" s="3">
        <v>103</v>
      </c>
      <c r="D18" s="4">
        <v>1.645</v>
      </c>
      <c r="E18" s="3"/>
      <c r="F18" s="3">
        <v>1459756</v>
      </c>
      <c r="G18" s="3">
        <v>1634</v>
      </c>
      <c r="H18" s="3"/>
      <c r="I18" s="3"/>
      <c r="J18" s="3">
        <v>2</v>
      </c>
      <c r="K18" s="3">
        <v>11.8</v>
      </c>
      <c r="L18" s="3">
        <v>1</v>
      </c>
      <c r="M18" s="3">
        <v>3</v>
      </c>
      <c r="N18" s="3" t="s">
        <v>52</v>
      </c>
      <c r="O18" s="3">
        <v>35</v>
      </c>
      <c r="P18" s="3"/>
      <c r="Q18" s="3" t="s">
        <v>21</v>
      </c>
      <c r="R18" s="3"/>
      <c r="S18" s="3"/>
      <c r="T18" s="3"/>
      <c r="U18" s="3"/>
    </row>
    <row r="19" spans="1:21" x14ac:dyDescent="0.3">
      <c r="A19" s="3" t="s">
        <v>15</v>
      </c>
      <c r="B19" s="3" t="s">
        <v>43</v>
      </c>
      <c r="C19" s="3">
        <v>36.799999999999997</v>
      </c>
      <c r="D19" s="3">
        <v>1.7210000000000001</v>
      </c>
      <c r="E19" s="3"/>
      <c r="F19" s="3">
        <v>1458434</v>
      </c>
      <c r="G19" s="3">
        <v>1440</v>
      </c>
      <c r="H19" s="3"/>
      <c r="I19" s="3"/>
      <c r="J19" s="3">
        <v>2.7</v>
      </c>
      <c r="K19" s="3">
        <v>12</v>
      </c>
      <c r="L19" s="3">
        <v>1</v>
      </c>
      <c r="M19" s="3">
        <v>17</v>
      </c>
      <c r="N19" s="3" t="s">
        <v>52</v>
      </c>
      <c r="O19" s="3">
        <v>34</v>
      </c>
      <c r="P19" s="3"/>
      <c r="Q19" s="3" t="s">
        <v>21</v>
      </c>
      <c r="R19" s="3"/>
      <c r="S19" s="3"/>
      <c r="T19" s="3"/>
      <c r="U19" s="3"/>
    </row>
    <row r="20" spans="1:21" x14ac:dyDescent="0.3">
      <c r="A20" s="3" t="s">
        <v>45</v>
      </c>
      <c r="B20" s="3" t="s">
        <v>18</v>
      </c>
      <c r="C20" s="3">
        <v>6.36</v>
      </c>
      <c r="D20" s="3">
        <v>126.096</v>
      </c>
      <c r="E20" s="3"/>
      <c r="F20" s="3">
        <v>15076525</v>
      </c>
      <c r="G20" s="3">
        <v>5731</v>
      </c>
      <c r="H20" s="3"/>
      <c r="I20" s="3"/>
      <c r="J20" s="3">
        <v>4.7</v>
      </c>
      <c r="K20" s="3">
        <v>50.2</v>
      </c>
      <c r="L20" s="3">
        <v>0</v>
      </c>
      <c r="M20" s="3">
        <v>0</v>
      </c>
      <c r="N20" s="3" t="s">
        <v>52</v>
      </c>
      <c r="O20">
        <v>70</v>
      </c>
      <c r="P20" s="3">
        <v>0</v>
      </c>
      <c r="Q20" s="3" t="s">
        <v>40</v>
      </c>
      <c r="R20" s="3"/>
      <c r="S20" s="3"/>
      <c r="T20" s="3"/>
      <c r="U20" s="3"/>
    </row>
    <row r="21" spans="1:21" x14ac:dyDescent="0.3">
      <c r="A21" s="3" t="s">
        <v>45</v>
      </c>
      <c r="B21" s="3" t="s">
        <v>19</v>
      </c>
      <c r="C21" s="3">
        <v>6.07</v>
      </c>
      <c r="D21" s="3">
        <v>128.12799999999999</v>
      </c>
      <c r="F21">
        <v>15247168</v>
      </c>
      <c r="G21" s="3">
        <v>6033</v>
      </c>
      <c r="H21" s="3"/>
      <c r="I21" s="3"/>
      <c r="J21" s="3">
        <v>5.2</v>
      </c>
      <c r="K21" s="3">
        <v>50.2</v>
      </c>
      <c r="L21" s="3">
        <v>0</v>
      </c>
      <c r="M21" s="3">
        <v>0</v>
      </c>
      <c r="N21" s="3" t="s">
        <v>52</v>
      </c>
      <c r="O21">
        <v>77</v>
      </c>
      <c r="P21" s="3">
        <v>0</v>
      </c>
      <c r="Q21" s="3" t="s">
        <v>40</v>
      </c>
      <c r="R21" s="3"/>
      <c r="S21" s="3"/>
      <c r="T21" s="3"/>
      <c r="U21" s="3"/>
    </row>
    <row r="22" spans="1:21" x14ac:dyDescent="0.3">
      <c r="A22" s="3" t="s">
        <v>45</v>
      </c>
      <c r="B22" s="3" t="s">
        <v>16</v>
      </c>
      <c r="C22" s="3">
        <v>157</v>
      </c>
      <c r="D22" s="4">
        <v>138.18600000000001</v>
      </c>
      <c r="E22" s="3"/>
      <c r="F22" s="3">
        <v>15082319</v>
      </c>
      <c r="G22" s="3">
        <v>5611</v>
      </c>
      <c r="H22" s="3"/>
      <c r="I22" s="3"/>
      <c r="J22" s="3">
        <v>5</v>
      </c>
      <c r="K22" s="3">
        <v>50.1</v>
      </c>
      <c r="L22" s="3">
        <v>0</v>
      </c>
      <c r="M22" s="3">
        <v>0</v>
      </c>
      <c r="N22" s="3" t="s">
        <v>52</v>
      </c>
      <c r="O22" s="3">
        <v>35</v>
      </c>
      <c r="P22" s="3">
        <v>0</v>
      </c>
      <c r="Q22" s="3" t="s">
        <v>40</v>
      </c>
      <c r="R22" s="3"/>
      <c r="S22" s="3"/>
      <c r="T22" s="3"/>
      <c r="U22" s="3"/>
    </row>
    <row r="23" spans="1:21" x14ac:dyDescent="0.3">
      <c r="A23" s="3" t="s">
        <v>45</v>
      </c>
      <c r="B23" s="3" t="s">
        <v>17</v>
      </c>
      <c r="C23" s="3">
        <v>156</v>
      </c>
      <c r="D23" s="3">
        <v>133.84</v>
      </c>
      <c r="E23" s="3"/>
      <c r="F23" s="3">
        <v>15102135</v>
      </c>
      <c r="G23" s="3">
        <v>5731</v>
      </c>
      <c r="H23" s="3"/>
      <c r="I23" s="3"/>
      <c r="J23" s="3">
        <v>5.9</v>
      </c>
      <c r="K23" s="3">
        <v>50.7</v>
      </c>
      <c r="L23" s="3">
        <v>0</v>
      </c>
      <c r="M23" s="3">
        <v>0</v>
      </c>
      <c r="N23" s="3" t="s">
        <v>52</v>
      </c>
      <c r="O23">
        <v>31</v>
      </c>
      <c r="P23" s="3">
        <v>0</v>
      </c>
      <c r="Q23" s="3" t="s">
        <v>40</v>
      </c>
      <c r="R23" s="4"/>
      <c r="S23" s="3"/>
      <c r="T23" s="3"/>
      <c r="U23" s="3"/>
    </row>
    <row r="24" spans="1:21" x14ac:dyDescent="0.3">
      <c r="A24" s="3" t="s">
        <v>10</v>
      </c>
      <c r="B24" s="3" t="s">
        <v>16</v>
      </c>
      <c r="C24" s="3">
        <v>157</v>
      </c>
      <c r="D24" s="4">
        <v>118.92100000000001</v>
      </c>
      <c r="E24" s="3"/>
      <c r="F24" s="3">
        <v>11316564</v>
      </c>
      <c r="G24" s="3">
        <v>14779</v>
      </c>
      <c r="H24" s="3"/>
      <c r="I24" s="3"/>
      <c r="J24" s="3">
        <v>11</v>
      </c>
      <c r="K24" s="3">
        <v>55.7</v>
      </c>
      <c r="L24" s="3">
        <v>0</v>
      </c>
      <c r="M24" s="3">
        <v>0</v>
      </c>
      <c r="N24" s="3" t="s">
        <v>52</v>
      </c>
      <c r="O24">
        <v>29</v>
      </c>
      <c r="P24" s="3">
        <v>0</v>
      </c>
      <c r="Q24" s="3" t="s">
        <v>40</v>
      </c>
      <c r="R24" s="4"/>
      <c r="S24" s="3"/>
      <c r="T24" s="3"/>
      <c r="U24" s="3"/>
    </row>
    <row r="25" spans="1:21" x14ac:dyDescent="0.3">
      <c r="A25" t="s">
        <v>10</v>
      </c>
      <c r="B25" t="s">
        <v>17</v>
      </c>
      <c r="C25">
        <v>156</v>
      </c>
      <c r="D25" s="4">
        <v>101.318</v>
      </c>
      <c r="E25" s="3"/>
      <c r="F25" s="3">
        <v>11318144</v>
      </c>
      <c r="G25" s="3">
        <v>14779</v>
      </c>
      <c r="H25" s="3"/>
      <c r="J25" s="3">
        <v>3.9</v>
      </c>
      <c r="K25" s="3">
        <v>47.6</v>
      </c>
      <c r="L25" s="3">
        <v>0</v>
      </c>
      <c r="M25" s="3">
        <v>0</v>
      </c>
      <c r="N25" s="3" t="s">
        <v>52</v>
      </c>
      <c r="O25">
        <v>70</v>
      </c>
      <c r="P25">
        <v>0</v>
      </c>
      <c r="Q25" t="s">
        <v>40</v>
      </c>
    </row>
    <row r="26" spans="1:21" x14ac:dyDescent="0.3">
      <c r="A26" s="3" t="s">
        <v>10</v>
      </c>
      <c r="B26" s="3" t="s">
        <v>19</v>
      </c>
      <c r="C26" s="3">
        <v>6.36</v>
      </c>
      <c r="D26">
        <v>99.37</v>
      </c>
      <c r="F26">
        <v>11261288</v>
      </c>
      <c r="G26" s="3">
        <v>14659</v>
      </c>
      <c r="H26" s="3"/>
      <c r="I26" s="3"/>
      <c r="J26" s="3">
        <v>3.1</v>
      </c>
      <c r="K26" s="3">
        <v>50.1</v>
      </c>
      <c r="L26" s="3">
        <v>0</v>
      </c>
      <c r="M26" s="3">
        <v>0</v>
      </c>
      <c r="N26" s="3" t="s">
        <v>52</v>
      </c>
      <c r="O26">
        <v>70</v>
      </c>
      <c r="P26" s="3">
        <v>0</v>
      </c>
      <c r="Q26" s="3" t="s">
        <v>40</v>
      </c>
      <c r="R26" s="4"/>
      <c r="S26" s="3"/>
      <c r="T26" s="3"/>
      <c r="U26" s="3"/>
    </row>
    <row r="27" spans="1:21" x14ac:dyDescent="0.3">
      <c r="A27" s="3" t="s">
        <v>10</v>
      </c>
      <c r="B27" s="3" t="s">
        <v>18</v>
      </c>
      <c r="C27" s="3">
        <v>6.07</v>
      </c>
      <c r="D27" s="4">
        <v>100</v>
      </c>
      <c r="E27" s="3"/>
      <c r="F27" s="3">
        <v>11294871</v>
      </c>
      <c r="G27" s="3">
        <v>14659</v>
      </c>
      <c r="H27" s="3"/>
      <c r="I27" s="3"/>
      <c r="J27" s="3">
        <v>3.7</v>
      </c>
      <c r="K27" s="3">
        <v>48.6</v>
      </c>
      <c r="L27" s="3">
        <v>0</v>
      </c>
      <c r="M27" s="3">
        <v>0</v>
      </c>
      <c r="N27" s="3" t="s">
        <v>52</v>
      </c>
      <c r="O27">
        <v>70</v>
      </c>
      <c r="P27" s="3">
        <v>0</v>
      </c>
      <c r="Q27" s="3" t="s">
        <v>40</v>
      </c>
      <c r="R27" s="4"/>
      <c r="S27" s="3"/>
      <c r="T27" s="3"/>
      <c r="U27" s="3"/>
    </row>
    <row r="28" spans="1:21" x14ac:dyDescent="0.3">
      <c r="A28" t="s">
        <v>9</v>
      </c>
      <c r="B28" t="s">
        <v>34</v>
      </c>
      <c r="C28">
        <v>548</v>
      </c>
      <c r="D28">
        <v>1.4750000000000001</v>
      </c>
      <c r="F28">
        <v>19455</v>
      </c>
      <c r="G28">
        <v>50</v>
      </c>
      <c r="H28" s="3"/>
      <c r="J28">
        <v>12.1</v>
      </c>
      <c r="K28">
        <v>2.6</v>
      </c>
      <c r="L28">
        <v>0</v>
      </c>
      <c r="M28">
        <v>0</v>
      </c>
      <c r="N28" t="s">
        <v>52</v>
      </c>
      <c r="O28">
        <v>77</v>
      </c>
      <c r="P28">
        <v>0</v>
      </c>
      <c r="Q28" t="s">
        <v>40</v>
      </c>
    </row>
    <row r="29" spans="1:21" x14ac:dyDescent="0.3">
      <c r="A29" t="s">
        <v>37</v>
      </c>
      <c r="B29" t="s">
        <v>34</v>
      </c>
      <c r="C29">
        <v>508</v>
      </c>
      <c r="D29">
        <v>1.347</v>
      </c>
      <c r="F29">
        <v>16948</v>
      </c>
      <c r="G29">
        <v>38</v>
      </c>
      <c r="H29" s="3"/>
      <c r="J29">
        <v>10.8</v>
      </c>
      <c r="K29">
        <v>2.2000000000000002</v>
      </c>
      <c r="L29">
        <v>0</v>
      </c>
      <c r="M29">
        <v>0</v>
      </c>
      <c r="N29" t="s">
        <v>52</v>
      </c>
      <c r="O29" s="3">
        <v>35</v>
      </c>
      <c r="P29">
        <v>0</v>
      </c>
      <c r="Q29" t="s">
        <v>40</v>
      </c>
    </row>
    <row r="30" spans="1:21" x14ac:dyDescent="0.3">
      <c r="A30" t="s">
        <v>38</v>
      </c>
      <c r="B30" t="s">
        <v>34</v>
      </c>
      <c r="C30">
        <v>528</v>
      </c>
      <c r="D30">
        <v>1.393</v>
      </c>
      <c r="F30">
        <v>17358</v>
      </c>
      <c r="G30">
        <v>44</v>
      </c>
      <c r="H30" s="3"/>
      <c r="J30">
        <v>12</v>
      </c>
      <c r="K30">
        <v>2.2000000000000002</v>
      </c>
      <c r="L30">
        <v>0</v>
      </c>
      <c r="M30">
        <v>0</v>
      </c>
      <c r="N30" t="s">
        <v>52</v>
      </c>
      <c r="O30">
        <v>28</v>
      </c>
      <c r="P30">
        <v>0</v>
      </c>
      <c r="Q30" t="s">
        <v>40</v>
      </c>
    </row>
    <row r="31" spans="1:21" x14ac:dyDescent="0.3">
      <c r="A31" t="s">
        <v>39</v>
      </c>
      <c r="B31" t="s">
        <v>34</v>
      </c>
      <c r="C31">
        <v>507</v>
      </c>
      <c r="D31">
        <v>1.8320000000000001</v>
      </c>
      <c r="F31">
        <v>15398</v>
      </c>
      <c r="G31">
        <v>11</v>
      </c>
      <c r="H31" s="3"/>
      <c r="J31">
        <v>12.1</v>
      </c>
      <c r="K31">
        <v>2</v>
      </c>
      <c r="L31">
        <v>0</v>
      </c>
      <c r="M31">
        <v>0</v>
      </c>
      <c r="N31" t="s">
        <v>52</v>
      </c>
      <c r="O31">
        <v>27</v>
      </c>
      <c r="P31">
        <v>0</v>
      </c>
      <c r="Q31" t="s">
        <v>40</v>
      </c>
    </row>
    <row r="32" spans="1:21" x14ac:dyDescent="0.3">
      <c r="A32" s="3" t="s">
        <v>15</v>
      </c>
      <c r="B32" s="3" t="s">
        <v>44</v>
      </c>
      <c r="C32" s="3">
        <v>103</v>
      </c>
      <c r="D32">
        <v>1.3029999999999999</v>
      </c>
      <c r="F32">
        <v>1459621</v>
      </c>
      <c r="G32">
        <v>1634</v>
      </c>
      <c r="H32" s="3"/>
      <c r="I32" s="3"/>
      <c r="J32" s="3">
        <v>2.2999999999999998</v>
      </c>
      <c r="K32" s="7">
        <v>23</v>
      </c>
      <c r="L32" s="3">
        <v>0</v>
      </c>
      <c r="M32" s="3">
        <v>0</v>
      </c>
      <c r="N32" s="3" t="s">
        <v>52</v>
      </c>
      <c r="O32" s="3">
        <v>31</v>
      </c>
      <c r="P32" s="3">
        <v>0</v>
      </c>
      <c r="Q32" s="3" t="s">
        <v>40</v>
      </c>
      <c r="R32" s="3"/>
      <c r="S32" s="3" t="s">
        <v>53</v>
      </c>
      <c r="T32" s="3"/>
      <c r="U32" s="3"/>
    </row>
    <row r="33" spans="1:21" x14ac:dyDescent="0.3">
      <c r="A33" s="3" t="s">
        <v>15</v>
      </c>
      <c r="B33" s="3" t="s">
        <v>43</v>
      </c>
      <c r="C33" s="3">
        <v>36.799999999999997</v>
      </c>
      <c r="D33" s="4">
        <v>1.268</v>
      </c>
      <c r="E33" s="3"/>
      <c r="F33" s="3">
        <v>1458300</v>
      </c>
      <c r="G33" s="3">
        <v>1140</v>
      </c>
      <c r="H33" s="3"/>
      <c r="I33" s="3"/>
      <c r="J33" s="3">
        <v>2.2999999999999998</v>
      </c>
      <c r="K33" s="3">
        <v>19.899999999999999</v>
      </c>
      <c r="L33" s="3">
        <v>0</v>
      </c>
      <c r="M33" s="3">
        <v>0</v>
      </c>
      <c r="N33" s="3" t="s">
        <v>52</v>
      </c>
      <c r="O33" s="3">
        <v>31</v>
      </c>
      <c r="P33" s="3">
        <v>0</v>
      </c>
      <c r="Q33" s="3" t="s">
        <v>40</v>
      </c>
      <c r="R33" s="3"/>
      <c r="S33" s="3"/>
      <c r="T33" s="3"/>
      <c r="U33" s="3"/>
    </row>
    <row r="34" spans="1:21" x14ac:dyDescent="0.3">
      <c r="A34" t="s">
        <v>11</v>
      </c>
      <c r="B34" t="s">
        <v>31</v>
      </c>
      <c r="C34">
        <v>51.7</v>
      </c>
      <c r="D34">
        <v>90.89</v>
      </c>
      <c r="F34" s="3">
        <v>356415</v>
      </c>
      <c r="G34" s="3">
        <v>26312</v>
      </c>
      <c r="H34" s="3"/>
      <c r="J34">
        <v>2.7</v>
      </c>
      <c r="K34">
        <v>44</v>
      </c>
      <c r="L34">
        <v>0</v>
      </c>
      <c r="M34">
        <v>0</v>
      </c>
      <c r="N34" t="s">
        <v>52</v>
      </c>
      <c r="O34">
        <v>27</v>
      </c>
      <c r="P34">
        <v>0</v>
      </c>
      <c r="Q34" t="s">
        <v>40</v>
      </c>
    </row>
    <row r="35" spans="1:21" x14ac:dyDescent="0.3">
      <c r="A35" t="s">
        <v>11</v>
      </c>
      <c r="B35" t="s">
        <v>32</v>
      </c>
      <c r="C35">
        <v>101.5</v>
      </c>
      <c r="D35">
        <v>15.614000000000001</v>
      </c>
      <c r="F35" s="3">
        <v>543462</v>
      </c>
      <c r="G35" s="3">
        <v>38544</v>
      </c>
      <c r="H35" s="3"/>
      <c r="J35">
        <v>11.8</v>
      </c>
      <c r="K35">
        <v>56.8</v>
      </c>
      <c r="L35">
        <v>0</v>
      </c>
      <c r="M35">
        <v>0</v>
      </c>
      <c r="N35" t="s">
        <v>52</v>
      </c>
      <c r="O35">
        <v>27</v>
      </c>
      <c r="P35">
        <v>0</v>
      </c>
      <c r="Q35" t="s">
        <v>40</v>
      </c>
    </row>
    <row r="36" spans="1:21" x14ac:dyDescent="0.3">
      <c r="A36" t="s">
        <v>11</v>
      </c>
      <c r="B36" t="s">
        <v>33</v>
      </c>
      <c r="C36">
        <v>150.9</v>
      </c>
      <c r="D36">
        <v>21.495999999999999</v>
      </c>
      <c r="F36" s="3">
        <v>736170</v>
      </c>
      <c r="G36" s="3">
        <v>31482</v>
      </c>
      <c r="H36" s="3"/>
      <c r="J36">
        <v>12.9</v>
      </c>
      <c r="K36">
        <v>58.6</v>
      </c>
      <c r="L36">
        <v>5</v>
      </c>
      <c r="M36">
        <v>0</v>
      </c>
      <c r="N36" t="s">
        <v>52</v>
      </c>
      <c r="O36">
        <v>60</v>
      </c>
      <c r="P36">
        <v>0</v>
      </c>
      <c r="Q36" t="s">
        <v>40</v>
      </c>
    </row>
    <row r="37" spans="1:21" x14ac:dyDescent="0.3">
      <c r="A37" t="s">
        <v>11</v>
      </c>
      <c r="B37" t="s">
        <v>34</v>
      </c>
      <c r="C37">
        <v>201.5</v>
      </c>
      <c r="D37">
        <v>25.297999999999998</v>
      </c>
      <c r="F37" s="3">
        <v>925676</v>
      </c>
      <c r="G37" s="3">
        <v>68068</v>
      </c>
      <c r="H37" s="3"/>
      <c r="J37">
        <v>15.2</v>
      </c>
      <c r="K37">
        <v>58.4</v>
      </c>
      <c r="L37">
        <v>5</v>
      </c>
      <c r="M37">
        <v>0</v>
      </c>
      <c r="N37" t="s">
        <v>52</v>
      </c>
      <c r="O37">
        <v>64</v>
      </c>
      <c r="P37">
        <v>0</v>
      </c>
      <c r="Q37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C720-9F86-4B5D-8589-A79C809DF7DA}">
  <dimension ref="A1:AC75"/>
  <sheetViews>
    <sheetView topLeftCell="C12" workbookViewId="0">
      <selection sqref="A1:U75"/>
    </sheetView>
  </sheetViews>
  <sheetFormatPr defaultRowHeight="14.4" x14ac:dyDescent="0.3"/>
  <cols>
    <col min="2" max="2" width="17.109375" customWidth="1"/>
    <col min="8" max="8" width="8.88671875" customWidth="1"/>
    <col min="9" max="9" width="14.33203125" customWidth="1"/>
    <col min="10" max="10" width="14.21875" customWidth="1"/>
    <col min="12" max="12" width="17.33203125" style="9" customWidth="1"/>
    <col min="14" max="14" width="12.109375" style="9" customWidth="1"/>
  </cols>
  <sheetData>
    <row r="1" spans="1:29" s="1" customFormat="1" x14ac:dyDescent="0.3">
      <c r="A1" s="1" t="s">
        <v>0</v>
      </c>
      <c r="B1" s="1" t="s">
        <v>1</v>
      </c>
      <c r="C1" s="1" t="s">
        <v>20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22</v>
      </c>
      <c r="K1" s="1" t="s">
        <v>36</v>
      </c>
      <c r="L1" s="8" t="s">
        <v>54</v>
      </c>
      <c r="M1" s="1" t="s">
        <v>41</v>
      </c>
      <c r="N1" s="8" t="s">
        <v>48</v>
      </c>
      <c r="O1" s="1" t="s">
        <v>25</v>
      </c>
      <c r="P1" s="1" t="s">
        <v>26</v>
      </c>
      <c r="Q1" s="1" t="s">
        <v>27</v>
      </c>
      <c r="R1" s="1" t="s">
        <v>28</v>
      </c>
      <c r="S1" s="1" t="s">
        <v>3</v>
      </c>
      <c r="T1" s="1" t="s">
        <v>24</v>
      </c>
      <c r="U1" s="1" t="s">
        <v>4</v>
      </c>
      <c r="V1" s="1" t="s">
        <v>5</v>
      </c>
      <c r="W1" s="1" t="s">
        <v>6</v>
      </c>
      <c r="X1" s="1" t="s">
        <v>7</v>
      </c>
      <c r="Y1" s="1" t="s">
        <v>8</v>
      </c>
      <c r="AC1" s="1" t="s">
        <v>13</v>
      </c>
    </row>
    <row r="2" spans="1:29" x14ac:dyDescent="0.3">
      <c r="A2" t="s">
        <v>10</v>
      </c>
      <c r="B2" t="s">
        <v>16</v>
      </c>
      <c r="C2">
        <v>157</v>
      </c>
      <c r="D2">
        <v>0</v>
      </c>
      <c r="E2">
        <v>19</v>
      </c>
      <c r="F2">
        <v>10</v>
      </c>
      <c r="G2">
        <v>0</v>
      </c>
      <c r="H2">
        <v>0</v>
      </c>
      <c r="I2">
        <v>9</v>
      </c>
      <c r="J2">
        <v>65</v>
      </c>
      <c r="K2">
        <v>0</v>
      </c>
      <c r="L2" s="9">
        <v>108</v>
      </c>
      <c r="M2">
        <v>1</v>
      </c>
      <c r="N2" s="9">
        <v>8</v>
      </c>
      <c r="O2">
        <v>2.6</v>
      </c>
      <c r="P2">
        <v>1.6</v>
      </c>
      <c r="Q2">
        <v>26</v>
      </c>
      <c r="R2">
        <v>100</v>
      </c>
      <c r="S2" t="s">
        <v>52</v>
      </c>
      <c r="T2" s="3">
        <v>45</v>
      </c>
      <c r="U2" t="s">
        <v>21</v>
      </c>
    </row>
    <row r="3" spans="1:29" x14ac:dyDescent="0.3">
      <c r="A3" t="s">
        <v>10</v>
      </c>
      <c r="B3" t="s">
        <v>17</v>
      </c>
      <c r="C3">
        <v>156</v>
      </c>
      <c r="D3">
        <v>0</v>
      </c>
      <c r="E3">
        <v>19</v>
      </c>
      <c r="F3">
        <v>10</v>
      </c>
      <c r="G3">
        <v>0</v>
      </c>
      <c r="H3">
        <v>0</v>
      </c>
      <c r="I3">
        <v>9</v>
      </c>
      <c r="J3">
        <v>50.48</v>
      </c>
      <c r="K3">
        <v>0</v>
      </c>
      <c r="L3" s="9">
        <v>108</v>
      </c>
      <c r="M3">
        <v>1</v>
      </c>
      <c r="N3" s="9">
        <v>8</v>
      </c>
      <c r="O3">
        <v>2.7</v>
      </c>
      <c r="P3">
        <v>23.9</v>
      </c>
      <c r="Q3">
        <v>26</v>
      </c>
      <c r="R3">
        <v>100</v>
      </c>
      <c r="S3" t="s">
        <v>52</v>
      </c>
      <c r="T3">
        <v>28</v>
      </c>
      <c r="U3" t="s">
        <v>21</v>
      </c>
    </row>
    <row r="4" spans="1:29" x14ac:dyDescent="0.3">
      <c r="A4" t="s">
        <v>10</v>
      </c>
      <c r="B4" t="s">
        <v>18</v>
      </c>
      <c r="C4">
        <v>6.36</v>
      </c>
      <c r="D4">
        <v>0</v>
      </c>
      <c r="E4">
        <v>19</v>
      </c>
      <c r="F4">
        <v>10</v>
      </c>
      <c r="G4">
        <v>0</v>
      </c>
      <c r="H4">
        <v>0</v>
      </c>
      <c r="I4">
        <v>9</v>
      </c>
      <c r="J4">
        <v>44</v>
      </c>
      <c r="K4">
        <v>0</v>
      </c>
      <c r="L4" s="9">
        <v>108</v>
      </c>
      <c r="M4">
        <v>1</v>
      </c>
      <c r="N4" s="9">
        <v>8</v>
      </c>
      <c r="O4">
        <v>2.7</v>
      </c>
      <c r="P4">
        <v>1.7</v>
      </c>
      <c r="Q4">
        <v>27</v>
      </c>
      <c r="R4">
        <v>100</v>
      </c>
      <c r="S4" t="s">
        <v>52</v>
      </c>
      <c r="T4">
        <v>29</v>
      </c>
      <c r="U4" t="s">
        <v>21</v>
      </c>
    </row>
    <row r="5" spans="1:29" x14ac:dyDescent="0.3">
      <c r="A5" s="3" t="s">
        <v>10</v>
      </c>
      <c r="B5" s="3" t="s">
        <v>19</v>
      </c>
      <c r="C5" s="3">
        <v>6.07</v>
      </c>
      <c r="D5">
        <v>0</v>
      </c>
      <c r="E5">
        <v>19</v>
      </c>
      <c r="F5">
        <v>10</v>
      </c>
      <c r="G5">
        <v>0</v>
      </c>
      <c r="H5">
        <v>0</v>
      </c>
      <c r="I5">
        <v>9</v>
      </c>
      <c r="J5" s="3">
        <v>44</v>
      </c>
      <c r="K5">
        <v>0</v>
      </c>
      <c r="L5" s="9">
        <v>108</v>
      </c>
      <c r="M5">
        <v>1</v>
      </c>
      <c r="N5" s="9">
        <v>8</v>
      </c>
      <c r="O5" s="3">
        <v>2.8</v>
      </c>
      <c r="P5" s="3">
        <v>1.8</v>
      </c>
      <c r="Q5" s="3">
        <v>26</v>
      </c>
      <c r="R5" s="3">
        <v>100</v>
      </c>
      <c r="S5" t="s">
        <v>52</v>
      </c>
      <c r="T5">
        <v>31</v>
      </c>
      <c r="U5" s="3" t="s">
        <v>21</v>
      </c>
    </row>
    <row r="6" spans="1:29" x14ac:dyDescent="0.3">
      <c r="A6" s="3" t="s">
        <v>12</v>
      </c>
      <c r="B6" s="3" t="s">
        <v>16</v>
      </c>
      <c r="C6" s="3">
        <v>157</v>
      </c>
      <c r="D6">
        <v>0</v>
      </c>
      <c r="E6">
        <v>21</v>
      </c>
      <c r="F6">
        <v>7</v>
      </c>
      <c r="G6">
        <v>0</v>
      </c>
      <c r="H6">
        <v>0</v>
      </c>
      <c r="I6">
        <v>13</v>
      </c>
      <c r="J6" s="3">
        <v>50.737000000000002</v>
      </c>
      <c r="K6">
        <v>0</v>
      </c>
      <c r="L6" s="9">
        <v>124</v>
      </c>
      <c r="M6">
        <v>1</v>
      </c>
      <c r="N6" s="9">
        <v>8</v>
      </c>
      <c r="O6">
        <v>2.7</v>
      </c>
      <c r="P6">
        <v>1.7</v>
      </c>
      <c r="Q6">
        <v>57</v>
      </c>
      <c r="R6">
        <v>100</v>
      </c>
      <c r="S6" s="3" t="s">
        <v>52</v>
      </c>
      <c r="T6">
        <v>29</v>
      </c>
      <c r="U6" s="3" t="s">
        <v>21</v>
      </c>
    </row>
    <row r="7" spans="1:29" x14ac:dyDescent="0.3">
      <c r="A7" t="s">
        <v>12</v>
      </c>
      <c r="B7" t="s">
        <v>17</v>
      </c>
      <c r="C7">
        <v>156</v>
      </c>
      <c r="D7">
        <v>0</v>
      </c>
      <c r="E7">
        <v>21</v>
      </c>
      <c r="F7">
        <v>7</v>
      </c>
      <c r="G7">
        <v>0</v>
      </c>
      <c r="H7">
        <v>0</v>
      </c>
      <c r="I7">
        <v>13</v>
      </c>
      <c r="J7" s="3">
        <v>51.429000000000002</v>
      </c>
      <c r="K7">
        <v>0</v>
      </c>
      <c r="L7" s="9">
        <v>124</v>
      </c>
      <c r="M7">
        <v>1</v>
      </c>
      <c r="N7" s="9">
        <v>8</v>
      </c>
      <c r="O7">
        <v>2.7</v>
      </c>
      <c r="P7">
        <v>1.7</v>
      </c>
      <c r="Q7">
        <v>56</v>
      </c>
      <c r="R7">
        <v>100</v>
      </c>
      <c r="S7" t="s">
        <v>52</v>
      </c>
      <c r="T7">
        <v>70</v>
      </c>
      <c r="U7" t="s">
        <v>21</v>
      </c>
    </row>
    <row r="8" spans="1:29" x14ac:dyDescent="0.3">
      <c r="A8" s="3" t="s">
        <v>12</v>
      </c>
      <c r="B8" s="3" t="s">
        <v>18</v>
      </c>
      <c r="C8" s="3">
        <v>6.36</v>
      </c>
      <c r="D8">
        <v>0</v>
      </c>
      <c r="E8">
        <v>21</v>
      </c>
      <c r="F8">
        <v>7</v>
      </c>
      <c r="G8">
        <v>0</v>
      </c>
      <c r="H8">
        <v>0</v>
      </c>
      <c r="I8">
        <v>13</v>
      </c>
      <c r="J8" s="3">
        <v>41.905999999999999</v>
      </c>
      <c r="K8">
        <v>0</v>
      </c>
      <c r="L8" s="9">
        <v>124</v>
      </c>
      <c r="M8">
        <v>1</v>
      </c>
      <c r="N8" s="9">
        <v>8</v>
      </c>
      <c r="O8" s="3">
        <v>2.7</v>
      </c>
      <c r="P8" s="3">
        <v>1.7</v>
      </c>
      <c r="Q8" s="3">
        <v>56</v>
      </c>
      <c r="R8" s="3">
        <v>100</v>
      </c>
      <c r="S8" s="3" t="s">
        <v>52</v>
      </c>
      <c r="T8">
        <v>70</v>
      </c>
      <c r="U8" s="3" t="s">
        <v>21</v>
      </c>
    </row>
    <row r="9" spans="1:29" x14ac:dyDescent="0.3">
      <c r="A9" s="3" t="s">
        <v>12</v>
      </c>
      <c r="B9" s="3" t="s">
        <v>19</v>
      </c>
      <c r="C9" s="3">
        <v>6.07</v>
      </c>
      <c r="D9">
        <v>0</v>
      </c>
      <c r="E9">
        <v>21</v>
      </c>
      <c r="F9">
        <v>7</v>
      </c>
      <c r="G9">
        <v>0</v>
      </c>
      <c r="H9">
        <v>0</v>
      </c>
      <c r="I9">
        <v>13</v>
      </c>
      <c r="J9" s="3">
        <v>60.508000000000003</v>
      </c>
      <c r="K9">
        <v>0</v>
      </c>
      <c r="L9" s="9">
        <v>124</v>
      </c>
      <c r="M9">
        <v>1</v>
      </c>
      <c r="N9" s="9">
        <v>8</v>
      </c>
      <c r="O9" s="3">
        <v>2.7</v>
      </c>
      <c r="P9" s="3">
        <v>1.8</v>
      </c>
      <c r="Q9" s="3">
        <v>57</v>
      </c>
      <c r="R9" s="3">
        <v>100</v>
      </c>
      <c r="S9" s="3" t="s">
        <v>52</v>
      </c>
      <c r="T9">
        <v>70</v>
      </c>
      <c r="U9" s="3" t="s">
        <v>21</v>
      </c>
    </row>
    <row r="10" spans="1:29" x14ac:dyDescent="0.3">
      <c r="A10" t="s">
        <v>9</v>
      </c>
      <c r="B10" t="s">
        <v>34</v>
      </c>
      <c r="C10">
        <v>548</v>
      </c>
      <c r="D10">
        <v>0</v>
      </c>
      <c r="E10">
        <v>24</v>
      </c>
      <c r="F10">
        <v>11</v>
      </c>
      <c r="G10">
        <v>1</v>
      </c>
      <c r="H10">
        <v>0</v>
      </c>
      <c r="I10">
        <v>17</v>
      </c>
      <c r="J10">
        <v>1.8740000000000001</v>
      </c>
      <c r="K10">
        <v>0</v>
      </c>
      <c r="L10" s="9">
        <v>144</v>
      </c>
      <c r="M10">
        <v>1</v>
      </c>
      <c r="N10" s="9">
        <v>100</v>
      </c>
      <c r="O10">
        <v>7.9</v>
      </c>
      <c r="P10">
        <v>2.6</v>
      </c>
      <c r="Q10">
        <v>0</v>
      </c>
      <c r="R10">
        <v>6</v>
      </c>
      <c r="S10" t="s">
        <v>52</v>
      </c>
      <c r="T10">
        <v>77</v>
      </c>
      <c r="U10" t="s">
        <v>21</v>
      </c>
    </row>
    <row r="11" spans="1:29" x14ac:dyDescent="0.3">
      <c r="A11" t="s">
        <v>37</v>
      </c>
      <c r="B11" t="s">
        <v>34</v>
      </c>
      <c r="C11">
        <v>508</v>
      </c>
      <c r="D11">
        <v>0</v>
      </c>
      <c r="E11">
        <v>24</v>
      </c>
      <c r="F11">
        <v>11</v>
      </c>
      <c r="G11">
        <v>1</v>
      </c>
      <c r="H11">
        <v>0</v>
      </c>
      <c r="I11">
        <v>17</v>
      </c>
      <c r="J11">
        <v>1.772</v>
      </c>
      <c r="K11">
        <v>0</v>
      </c>
      <c r="L11" s="9">
        <v>144</v>
      </c>
      <c r="M11">
        <v>1</v>
      </c>
      <c r="N11" s="9">
        <v>100</v>
      </c>
      <c r="O11">
        <v>7.8</v>
      </c>
      <c r="P11">
        <v>2.4</v>
      </c>
      <c r="Q11">
        <v>0</v>
      </c>
      <c r="R11">
        <v>1</v>
      </c>
      <c r="S11" t="s">
        <v>52</v>
      </c>
      <c r="T11" s="3">
        <v>35</v>
      </c>
      <c r="U11" t="s">
        <v>21</v>
      </c>
    </row>
    <row r="12" spans="1:29" x14ac:dyDescent="0.3">
      <c r="A12" t="s">
        <v>38</v>
      </c>
      <c r="B12" t="s">
        <v>34</v>
      </c>
      <c r="C12">
        <v>528</v>
      </c>
      <c r="D12">
        <v>0</v>
      </c>
      <c r="E12">
        <v>24</v>
      </c>
      <c r="F12">
        <v>11</v>
      </c>
      <c r="G12">
        <v>1</v>
      </c>
      <c r="H12">
        <v>0</v>
      </c>
      <c r="I12">
        <v>17</v>
      </c>
      <c r="J12">
        <v>2.1240000000000001</v>
      </c>
      <c r="K12">
        <v>0</v>
      </c>
      <c r="L12" s="9">
        <v>144</v>
      </c>
      <c r="M12">
        <v>1</v>
      </c>
      <c r="N12" s="9">
        <v>100</v>
      </c>
      <c r="O12">
        <v>11.9</v>
      </c>
      <c r="P12">
        <v>2</v>
      </c>
      <c r="Q12">
        <v>0</v>
      </c>
      <c r="R12">
        <v>2</v>
      </c>
      <c r="S12" t="s">
        <v>52</v>
      </c>
      <c r="T12">
        <v>31</v>
      </c>
      <c r="U12" t="s">
        <v>21</v>
      </c>
    </row>
    <row r="13" spans="1:29" x14ac:dyDescent="0.3">
      <c r="A13" t="s">
        <v>39</v>
      </c>
      <c r="B13" t="s">
        <v>34</v>
      </c>
      <c r="C13">
        <v>507</v>
      </c>
      <c r="D13">
        <v>0</v>
      </c>
      <c r="E13">
        <v>24</v>
      </c>
      <c r="F13">
        <v>11</v>
      </c>
      <c r="G13">
        <v>1</v>
      </c>
      <c r="H13">
        <v>0</v>
      </c>
      <c r="I13">
        <v>17</v>
      </c>
      <c r="J13">
        <v>1.8320000000000001</v>
      </c>
      <c r="K13">
        <v>0</v>
      </c>
      <c r="L13" s="9">
        <v>144</v>
      </c>
      <c r="M13">
        <v>1</v>
      </c>
      <c r="N13" s="9">
        <v>100</v>
      </c>
      <c r="O13">
        <v>10</v>
      </c>
      <c r="P13">
        <v>2.1</v>
      </c>
      <c r="Q13">
        <v>0</v>
      </c>
      <c r="R13">
        <v>14</v>
      </c>
      <c r="S13" t="s">
        <v>52</v>
      </c>
      <c r="T13">
        <v>29</v>
      </c>
      <c r="U13" t="s">
        <v>21</v>
      </c>
    </row>
    <row r="14" spans="1:29" x14ac:dyDescent="0.3">
      <c r="A14" t="s">
        <v>11</v>
      </c>
      <c r="B14" t="s">
        <v>31</v>
      </c>
      <c r="C14">
        <v>51.7</v>
      </c>
      <c r="D14">
        <v>0</v>
      </c>
      <c r="E14">
        <v>23</v>
      </c>
      <c r="F14">
        <v>10</v>
      </c>
      <c r="G14">
        <v>0</v>
      </c>
      <c r="H14">
        <v>0</v>
      </c>
      <c r="I14">
        <v>19</v>
      </c>
      <c r="J14">
        <v>3.6509999999999998</v>
      </c>
      <c r="K14">
        <v>0</v>
      </c>
      <c r="L14" s="9">
        <v>133</v>
      </c>
      <c r="M14">
        <v>1</v>
      </c>
      <c r="N14" s="9">
        <v>100</v>
      </c>
      <c r="O14">
        <v>20.9</v>
      </c>
      <c r="P14">
        <v>7.9</v>
      </c>
      <c r="Q14">
        <v>19</v>
      </c>
      <c r="R14">
        <v>70</v>
      </c>
      <c r="S14" t="s">
        <v>52</v>
      </c>
      <c r="T14">
        <v>70</v>
      </c>
      <c r="U14" t="s">
        <v>21</v>
      </c>
    </row>
    <row r="15" spans="1:29" x14ac:dyDescent="0.3">
      <c r="A15" t="s">
        <v>11</v>
      </c>
      <c r="B15" t="s">
        <v>32</v>
      </c>
      <c r="C15">
        <v>101.5</v>
      </c>
      <c r="D15">
        <v>0</v>
      </c>
      <c r="E15">
        <v>23</v>
      </c>
      <c r="F15">
        <v>10</v>
      </c>
      <c r="G15">
        <v>0</v>
      </c>
      <c r="H15">
        <v>0</v>
      </c>
      <c r="I15">
        <v>19</v>
      </c>
      <c r="J15">
        <v>4.5119999999999996</v>
      </c>
      <c r="K15">
        <v>0</v>
      </c>
      <c r="L15" s="9">
        <v>133</v>
      </c>
      <c r="M15">
        <v>1</v>
      </c>
      <c r="N15" s="9">
        <v>100</v>
      </c>
      <c r="O15">
        <v>21</v>
      </c>
      <c r="P15">
        <v>8.1</v>
      </c>
      <c r="Q15">
        <v>19</v>
      </c>
      <c r="R15">
        <v>68</v>
      </c>
      <c r="S15" t="s">
        <v>52</v>
      </c>
      <c r="T15">
        <v>70</v>
      </c>
      <c r="U15" t="s">
        <v>21</v>
      </c>
    </row>
    <row r="16" spans="1:29" x14ac:dyDescent="0.3">
      <c r="A16" t="s">
        <v>11</v>
      </c>
      <c r="B16" t="s">
        <v>33</v>
      </c>
      <c r="C16">
        <v>150.9</v>
      </c>
      <c r="D16">
        <v>0</v>
      </c>
      <c r="E16">
        <v>23</v>
      </c>
      <c r="F16">
        <v>10</v>
      </c>
      <c r="G16">
        <v>0</v>
      </c>
      <c r="H16">
        <v>0</v>
      </c>
      <c r="I16">
        <v>19</v>
      </c>
      <c r="J16">
        <v>8.5380000000000003</v>
      </c>
      <c r="K16">
        <v>0</v>
      </c>
      <c r="L16" s="9">
        <v>133</v>
      </c>
      <c r="M16">
        <v>1</v>
      </c>
      <c r="N16" s="9">
        <v>100</v>
      </c>
      <c r="O16">
        <v>21</v>
      </c>
      <c r="P16">
        <v>7.8</v>
      </c>
      <c r="Q16">
        <v>18</v>
      </c>
      <c r="R16">
        <v>65</v>
      </c>
      <c r="S16" t="s">
        <v>52</v>
      </c>
      <c r="T16">
        <v>70</v>
      </c>
      <c r="U16" t="s">
        <v>21</v>
      </c>
    </row>
    <row r="17" spans="1:21" x14ac:dyDescent="0.3">
      <c r="A17" t="s">
        <v>11</v>
      </c>
      <c r="B17" t="s">
        <v>34</v>
      </c>
      <c r="C17">
        <v>201.5</v>
      </c>
      <c r="D17">
        <v>0</v>
      </c>
      <c r="E17">
        <v>23</v>
      </c>
      <c r="F17">
        <v>10</v>
      </c>
      <c r="G17">
        <v>0</v>
      </c>
      <c r="H17">
        <v>0</v>
      </c>
      <c r="I17">
        <v>19</v>
      </c>
      <c r="J17">
        <v>9.2439999999999998</v>
      </c>
      <c r="K17">
        <v>0</v>
      </c>
      <c r="L17" s="9">
        <v>133</v>
      </c>
      <c r="M17">
        <v>1</v>
      </c>
      <c r="N17" s="9">
        <v>100</v>
      </c>
      <c r="O17">
        <v>21.6</v>
      </c>
      <c r="P17">
        <v>9.1</v>
      </c>
      <c r="Q17">
        <v>20</v>
      </c>
      <c r="R17">
        <v>70</v>
      </c>
      <c r="S17" t="s">
        <v>52</v>
      </c>
      <c r="T17">
        <v>77</v>
      </c>
      <c r="U17" t="s">
        <v>21</v>
      </c>
    </row>
    <row r="18" spans="1:21" x14ac:dyDescent="0.3">
      <c r="A18" s="3" t="s">
        <v>15</v>
      </c>
      <c r="B18" s="3" t="s">
        <v>44</v>
      </c>
      <c r="C18" s="3">
        <v>103</v>
      </c>
      <c r="D18">
        <v>1</v>
      </c>
      <c r="E18">
        <v>31</v>
      </c>
      <c r="F18">
        <v>15</v>
      </c>
      <c r="G18">
        <v>1</v>
      </c>
      <c r="H18">
        <v>1</v>
      </c>
      <c r="I18">
        <v>14</v>
      </c>
      <c r="J18" s="4">
        <v>1.645</v>
      </c>
      <c r="K18">
        <v>0</v>
      </c>
      <c r="L18" s="9">
        <v>138</v>
      </c>
      <c r="M18">
        <v>1</v>
      </c>
      <c r="N18" s="9">
        <v>100</v>
      </c>
      <c r="O18" s="3">
        <v>2</v>
      </c>
      <c r="P18" s="3">
        <v>11.8</v>
      </c>
      <c r="Q18" s="3">
        <v>1</v>
      </c>
      <c r="R18" s="3">
        <v>3</v>
      </c>
      <c r="S18" s="3" t="s">
        <v>52</v>
      </c>
      <c r="T18" s="3">
        <v>35</v>
      </c>
      <c r="U18" s="3" t="s">
        <v>21</v>
      </c>
    </row>
    <row r="19" spans="1:21" x14ac:dyDescent="0.3">
      <c r="A19" s="3" t="s">
        <v>15</v>
      </c>
      <c r="B19" s="3" t="s">
        <v>43</v>
      </c>
      <c r="C19" s="3">
        <v>36.799999999999997</v>
      </c>
      <c r="D19">
        <v>1</v>
      </c>
      <c r="E19">
        <v>31</v>
      </c>
      <c r="F19">
        <v>15</v>
      </c>
      <c r="G19">
        <v>1</v>
      </c>
      <c r="H19">
        <v>1</v>
      </c>
      <c r="I19">
        <v>14</v>
      </c>
      <c r="J19" s="3">
        <v>1.7210000000000001</v>
      </c>
      <c r="K19">
        <v>0</v>
      </c>
      <c r="L19" s="9">
        <v>138</v>
      </c>
      <c r="M19">
        <v>1</v>
      </c>
      <c r="N19" s="9">
        <v>100</v>
      </c>
      <c r="O19" s="3">
        <v>2.7</v>
      </c>
      <c r="P19" s="3">
        <v>12</v>
      </c>
      <c r="Q19" s="3">
        <v>1</v>
      </c>
      <c r="R19" s="3">
        <v>17</v>
      </c>
      <c r="S19" s="3" t="s">
        <v>52</v>
      </c>
      <c r="T19" s="3">
        <v>34</v>
      </c>
      <c r="U19" s="3" t="s">
        <v>21</v>
      </c>
    </row>
    <row r="20" spans="1:21" x14ac:dyDescent="0.3">
      <c r="A20" s="3" t="s">
        <v>45</v>
      </c>
      <c r="B20" s="3" t="s">
        <v>18</v>
      </c>
      <c r="C20" s="3">
        <v>6.36</v>
      </c>
      <c r="D20">
        <v>0</v>
      </c>
      <c r="E20">
        <v>21</v>
      </c>
      <c r="F20">
        <v>7</v>
      </c>
      <c r="G20">
        <v>0</v>
      </c>
      <c r="H20">
        <v>0</v>
      </c>
      <c r="I20">
        <v>13</v>
      </c>
      <c r="J20" s="3">
        <v>126.096</v>
      </c>
      <c r="K20">
        <v>0</v>
      </c>
      <c r="L20" s="9">
        <v>138</v>
      </c>
      <c r="M20">
        <v>1</v>
      </c>
      <c r="N20" s="9">
        <v>100</v>
      </c>
      <c r="O20" s="3">
        <v>4.7</v>
      </c>
      <c r="P20" s="3">
        <v>50.2</v>
      </c>
      <c r="Q20" s="3">
        <v>0</v>
      </c>
      <c r="R20" s="3">
        <v>0</v>
      </c>
      <c r="S20" s="3" t="s">
        <v>52</v>
      </c>
      <c r="T20">
        <v>70</v>
      </c>
      <c r="U20" s="3" t="s">
        <v>40</v>
      </c>
    </row>
    <row r="21" spans="1:21" x14ac:dyDescent="0.3">
      <c r="A21" s="3" t="s">
        <v>45</v>
      </c>
      <c r="B21" s="3" t="s">
        <v>19</v>
      </c>
      <c r="C21" s="3">
        <v>6.07</v>
      </c>
      <c r="D21">
        <v>0</v>
      </c>
      <c r="E21">
        <v>21</v>
      </c>
      <c r="F21">
        <v>7</v>
      </c>
      <c r="G21">
        <v>0</v>
      </c>
      <c r="H21">
        <v>0</v>
      </c>
      <c r="I21">
        <v>13</v>
      </c>
      <c r="J21" s="3">
        <v>128.12799999999999</v>
      </c>
      <c r="K21">
        <v>0</v>
      </c>
      <c r="L21" s="9">
        <v>138</v>
      </c>
      <c r="M21">
        <v>1</v>
      </c>
      <c r="N21" s="9">
        <v>100</v>
      </c>
      <c r="O21" s="3">
        <v>5.2</v>
      </c>
      <c r="P21" s="3">
        <v>50.2</v>
      </c>
      <c r="Q21" s="3">
        <v>0</v>
      </c>
      <c r="R21" s="3">
        <v>0</v>
      </c>
      <c r="S21" s="3" t="s">
        <v>52</v>
      </c>
      <c r="T21">
        <v>77</v>
      </c>
      <c r="U21" s="3" t="s">
        <v>40</v>
      </c>
    </row>
    <row r="22" spans="1:21" x14ac:dyDescent="0.3">
      <c r="A22" s="3" t="s">
        <v>45</v>
      </c>
      <c r="B22" s="3" t="s">
        <v>16</v>
      </c>
      <c r="C22" s="3">
        <v>157</v>
      </c>
      <c r="D22">
        <v>0</v>
      </c>
      <c r="E22">
        <v>21</v>
      </c>
      <c r="F22">
        <v>7</v>
      </c>
      <c r="G22">
        <v>0</v>
      </c>
      <c r="H22">
        <v>0</v>
      </c>
      <c r="I22">
        <v>13</v>
      </c>
      <c r="J22" s="4">
        <v>138.18600000000001</v>
      </c>
      <c r="K22">
        <v>0</v>
      </c>
      <c r="L22" s="9">
        <v>132</v>
      </c>
      <c r="M22">
        <v>1</v>
      </c>
      <c r="N22" s="9">
        <v>100</v>
      </c>
      <c r="O22" s="3">
        <v>5</v>
      </c>
      <c r="P22" s="3">
        <v>50.1</v>
      </c>
      <c r="Q22" s="3">
        <v>0</v>
      </c>
      <c r="R22" s="3">
        <v>0</v>
      </c>
      <c r="S22" s="3" t="s">
        <v>52</v>
      </c>
      <c r="T22" s="3">
        <v>35</v>
      </c>
      <c r="U22" s="3" t="s">
        <v>40</v>
      </c>
    </row>
    <row r="23" spans="1:21" x14ac:dyDescent="0.3">
      <c r="A23" s="3" t="s">
        <v>45</v>
      </c>
      <c r="B23" s="3" t="s">
        <v>17</v>
      </c>
      <c r="C23" s="3">
        <v>156</v>
      </c>
      <c r="D23">
        <v>0</v>
      </c>
      <c r="E23">
        <v>21</v>
      </c>
      <c r="F23">
        <v>7</v>
      </c>
      <c r="G23">
        <v>0</v>
      </c>
      <c r="H23">
        <v>0</v>
      </c>
      <c r="I23">
        <v>13</v>
      </c>
      <c r="J23" s="3">
        <v>133.84</v>
      </c>
      <c r="K23">
        <v>0</v>
      </c>
      <c r="L23" s="9">
        <v>132</v>
      </c>
      <c r="M23">
        <v>1</v>
      </c>
      <c r="N23" s="9">
        <v>100</v>
      </c>
      <c r="O23" s="3">
        <v>5.9</v>
      </c>
      <c r="P23" s="3">
        <v>50.7</v>
      </c>
      <c r="Q23" s="3">
        <v>0</v>
      </c>
      <c r="R23" s="3">
        <v>0</v>
      </c>
      <c r="S23" s="3" t="s">
        <v>52</v>
      </c>
      <c r="T23">
        <v>31</v>
      </c>
      <c r="U23" s="3" t="s">
        <v>40</v>
      </c>
    </row>
    <row r="24" spans="1:21" x14ac:dyDescent="0.3">
      <c r="A24" s="3" t="s">
        <v>10</v>
      </c>
      <c r="B24" s="3" t="s">
        <v>16</v>
      </c>
      <c r="C24" s="3">
        <v>157</v>
      </c>
      <c r="D24">
        <v>0</v>
      </c>
      <c r="E24">
        <v>19</v>
      </c>
      <c r="F24">
        <v>10</v>
      </c>
      <c r="G24">
        <v>0</v>
      </c>
      <c r="H24">
        <v>0</v>
      </c>
      <c r="I24">
        <v>9</v>
      </c>
      <c r="J24" s="4">
        <v>118.92100000000001</v>
      </c>
      <c r="K24">
        <v>0</v>
      </c>
      <c r="L24" s="9">
        <v>132</v>
      </c>
      <c r="M24">
        <v>1</v>
      </c>
      <c r="N24" s="9">
        <v>100</v>
      </c>
      <c r="O24" s="3">
        <v>11</v>
      </c>
      <c r="P24" s="3">
        <v>55.7</v>
      </c>
      <c r="Q24" s="3">
        <v>0</v>
      </c>
      <c r="R24" s="3">
        <v>0</v>
      </c>
      <c r="S24" s="3" t="s">
        <v>52</v>
      </c>
      <c r="T24">
        <v>29</v>
      </c>
      <c r="U24" s="3" t="s">
        <v>40</v>
      </c>
    </row>
    <row r="25" spans="1:21" x14ac:dyDescent="0.3">
      <c r="A25" t="s">
        <v>10</v>
      </c>
      <c r="B25" t="s">
        <v>17</v>
      </c>
      <c r="C25">
        <v>156</v>
      </c>
      <c r="D25">
        <v>0</v>
      </c>
      <c r="E25">
        <v>19</v>
      </c>
      <c r="F25">
        <v>10</v>
      </c>
      <c r="G25">
        <v>0</v>
      </c>
      <c r="H25">
        <v>0</v>
      </c>
      <c r="I25">
        <v>9</v>
      </c>
      <c r="J25" s="4">
        <v>101.318</v>
      </c>
      <c r="K25">
        <v>0</v>
      </c>
      <c r="L25" s="9">
        <v>132</v>
      </c>
      <c r="M25">
        <v>1</v>
      </c>
      <c r="N25" s="9">
        <v>100</v>
      </c>
      <c r="O25" s="3">
        <v>3.9</v>
      </c>
      <c r="P25" s="3">
        <v>47.6</v>
      </c>
      <c r="Q25" s="3">
        <v>0</v>
      </c>
      <c r="R25" s="3">
        <v>0</v>
      </c>
      <c r="S25" s="3" t="s">
        <v>52</v>
      </c>
      <c r="T25">
        <v>70</v>
      </c>
      <c r="U25" t="s">
        <v>40</v>
      </c>
    </row>
    <row r="26" spans="1:21" x14ac:dyDescent="0.3">
      <c r="A26" s="3" t="s">
        <v>10</v>
      </c>
      <c r="B26" s="3" t="s">
        <v>19</v>
      </c>
      <c r="C26" s="3">
        <v>6.36</v>
      </c>
      <c r="D26">
        <v>0</v>
      </c>
      <c r="E26">
        <v>19</v>
      </c>
      <c r="F26">
        <v>10</v>
      </c>
      <c r="G26">
        <v>0</v>
      </c>
      <c r="H26">
        <v>0</v>
      </c>
      <c r="I26">
        <v>9</v>
      </c>
      <c r="J26">
        <v>99.37</v>
      </c>
      <c r="K26">
        <v>0</v>
      </c>
      <c r="L26" s="9">
        <v>25.6</v>
      </c>
      <c r="M26">
        <v>1</v>
      </c>
      <c r="N26" s="9">
        <v>32</v>
      </c>
      <c r="O26" s="3">
        <v>3.1</v>
      </c>
      <c r="P26" s="3">
        <v>50.1</v>
      </c>
      <c r="Q26" s="3">
        <v>0</v>
      </c>
      <c r="R26" s="3">
        <v>0</v>
      </c>
      <c r="S26" s="3" t="s">
        <v>52</v>
      </c>
      <c r="T26">
        <v>70</v>
      </c>
      <c r="U26" s="3" t="s">
        <v>40</v>
      </c>
    </row>
    <row r="27" spans="1:21" x14ac:dyDescent="0.3">
      <c r="A27" s="3" t="s">
        <v>10</v>
      </c>
      <c r="B27" s="3" t="s">
        <v>18</v>
      </c>
      <c r="C27" s="3">
        <v>6.07</v>
      </c>
      <c r="D27">
        <v>0</v>
      </c>
      <c r="E27">
        <v>19</v>
      </c>
      <c r="F27">
        <v>10</v>
      </c>
      <c r="G27">
        <v>0</v>
      </c>
      <c r="H27">
        <v>0</v>
      </c>
      <c r="I27">
        <v>9</v>
      </c>
      <c r="J27" s="4">
        <v>100</v>
      </c>
      <c r="K27">
        <v>0</v>
      </c>
      <c r="L27" s="9">
        <v>25.6</v>
      </c>
      <c r="M27">
        <v>1</v>
      </c>
      <c r="N27" s="9">
        <v>32</v>
      </c>
      <c r="O27" s="3">
        <v>3.7</v>
      </c>
      <c r="P27" s="3">
        <v>48.6</v>
      </c>
      <c r="Q27" s="3">
        <v>0</v>
      </c>
      <c r="R27" s="3">
        <v>0</v>
      </c>
      <c r="S27" s="3" t="s">
        <v>52</v>
      </c>
      <c r="T27">
        <v>70</v>
      </c>
      <c r="U27" s="3" t="s">
        <v>40</v>
      </c>
    </row>
    <row r="28" spans="1:21" x14ac:dyDescent="0.3">
      <c r="A28" t="s">
        <v>9</v>
      </c>
      <c r="B28" t="s">
        <v>34</v>
      </c>
      <c r="C28">
        <v>548</v>
      </c>
      <c r="D28">
        <v>0</v>
      </c>
      <c r="E28">
        <v>24</v>
      </c>
      <c r="F28">
        <v>11</v>
      </c>
      <c r="G28">
        <v>1</v>
      </c>
      <c r="H28">
        <v>0</v>
      </c>
      <c r="I28">
        <v>17</v>
      </c>
      <c r="J28">
        <v>1.4750000000000001</v>
      </c>
      <c r="K28">
        <v>0</v>
      </c>
      <c r="L28" s="9">
        <v>25.6</v>
      </c>
      <c r="M28">
        <v>1</v>
      </c>
      <c r="N28" s="9">
        <v>32</v>
      </c>
      <c r="O28">
        <v>12.1</v>
      </c>
      <c r="P28">
        <v>2.6</v>
      </c>
      <c r="Q28">
        <v>0</v>
      </c>
      <c r="R28">
        <v>0</v>
      </c>
      <c r="S28" t="s">
        <v>52</v>
      </c>
      <c r="T28">
        <v>77</v>
      </c>
      <c r="U28" t="s">
        <v>40</v>
      </c>
    </row>
    <row r="29" spans="1:21" x14ac:dyDescent="0.3">
      <c r="A29" t="s">
        <v>37</v>
      </c>
      <c r="B29" t="s">
        <v>34</v>
      </c>
      <c r="C29">
        <v>508</v>
      </c>
      <c r="D29">
        <v>0</v>
      </c>
      <c r="E29">
        <v>24</v>
      </c>
      <c r="F29">
        <v>11</v>
      </c>
      <c r="G29">
        <v>1</v>
      </c>
      <c r="H29">
        <v>0</v>
      </c>
      <c r="I29">
        <v>17</v>
      </c>
      <c r="J29">
        <v>1.347</v>
      </c>
      <c r="K29">
        <v>0</v>
      </c>
      <c r="L29" s="9">
        <v>25.6</v>
      </c>
      <c r="M29">
        <v>1</v>
      </c>
      <c r="N29" s="9">
        <v>32</v>
      </c>
      <c r="O29">
        <v>10.8</v>
      </c>
      <c r="P29">
        <v>2.2000000000000002</v>
      </c>
      <c r="Q29">
        <v>0</v>
      </c>
      <c r="R29">
        <v>0</v>
      </c>
      <c r="S29" t="s">
        <v>52</v>
      </c>
      <c r="T29" s="3">
        <v>35</v>
      </c>
      <c r="U29" t="s">
        <v>40</v>
      </c>
    </row>
    <row r="30" spans="1:21" x14ac:dyDescent="0.3">
      <c r="A30" t="s">
        <v>38</v>
      </c>
      <c r="B30" t="s">
        <v>34</v>
      </c>
      <c r="C30">
        <v>528</v>
      </c>
      <c r="D30">
        <v>0</v>
      </c>
      <c r="E30">
        <v>24</v>
      </c>
      <c r="F30">
        <v>11</v>
      </c>
      <c r="G30">
        <v>1</v>
      </c>
      <c r="H30">
        <v>0</v>
      </c>
      <c r="I30">
        <v>17</v>
      </c>
      <c r="J30">
        <v>1.393</v>
      </c>
      <c r="K30">
        <v>0</v>
      </c>
      <c r="L30" s="9">
        <v>60</v>
      </c>
      <c r="M30">
        <v>1</v>
      </c>
      <c r="N30" s="9">
        <v>16</v>
      </c>
      <c r="O30">
        <v>12</v>
      </c>
      <c r="P30">
        <v>2.2000000000000002</v>
      </c>
      <c r="Q30">
        <v>0</v>
      </c>
      <c r="R30">
        <v>0</v>
      </c>
      <c r="S30" t="s">
        <v>52</v>
      </c>
      <c r="T30">
        <v>28</v>
      </c>
      <c r="U30" t="s">
        <v>40</v>
      </c>
    </row>
    <row r="31" spans="1:21" x14ac:dyDescent="0.3">
      <c r="A31" t="s">
        <v>39</v>
      </c>
      <c r="B31" t="s">
        <v>34</v>
      </c>
      <c r="C31">
        <v>507</v>
      </c>
      <c r="D31">
        <v>0</v>
      </c>
      <c r="E31">
        <v>24</v>
      </c>
      <c r="F31">
        <v>11</v>
      </c>
      <c r="G31">
        <v>1</v>
      </c>
      <c r="H31">
        <v>0</v>
      </c>
      <c r="I31">
        <v>17</v>
      </c>
      <c r="J31">
        <v>1.8320000000000001</v>
      </c>
      <c r="K31">
        <v>0</v>
      </c>
      <c r="L31" s="9">
        <v>60</v>
      </c>
      <c r="M31">
        <v>1</v>
      </c>
      <c r="N31" s="9">
        <v>16</v>
      </c>
      <c r="O31">
        <v>12.1</v>
      </c>
      <c r="P31">
        <v>2</v>
      </c>
      <c r="Q31">
        <v>0</v>
      </c>
      <c r="R31">
        <v>0</v>
      </c>
      <c r="S31" t="s">
        <v>52</v>
      </c>
      <c r="T31">
        <v>27</v>
      </c>
      <c r="U31" t="s">
        <v>40</v>
      </c>
    </row>
    <row r="32" spans="1:21" x14ac:dyDescent="0.3">
      <c r="A32" s="3" t="s">
        <v>15</v>
      </c>
      <c r="B32" s="3" t="s">
        <v>44</v>
      </c>
      <c r="C32" s="3">
        <v>103</v>
      </c>
      <c r="D32">
        <v>1</v>
      </c>
      <c r="E32">
        <v>31</v>
      </c>
      <c r="F32">
        <v>15</v>
      </c>
      <c r="G32">
        <v>1</v>
      </c>
      <c r="H32">
        <v>14</v>
      </c>
      <c r="I32">
        <v>14</v>
      </c>
      <c r="J32">
        <v>1.3029999999999999</v>
      </c>
      <c r="K32">
        <v>0</v>
      </c>
      <c r="L32" s="9">
        <v>124</v>
      </c>
      <c r="M32">
        <v>1</v>
      </c>
      <c r="N32" s="9">
        <v>8</v>
      </c>
      <c r="O32" s="3">
        <v>2.2999999999999998</v>
      </c>
      <c r="P32" s="7">
        <v>23</v>
      </c>
      <c r="Q32" s="3">
        <v>0</v>
      </c>
      <c r="R32" s="3">
        <v>0</v>
      </c>
      <c r="S32" s="3" t="s">
        <v>52</v>
      </c>
      <c r="T32" s="3">
        <v>31</v>
      </c>
      <c r="U32" s="3" t="s">
        <v>40</v>
      </c>
    </row>
    <row r="33" spans="1:21" x14ac:dyDescent="0.3">
      <c r="A33" s="3" t="s">
        <v>15</v>
      </c>
      <c r="B33" s="3" t="s">
        <v>43</v>
      </c>
      <c r="C33" s="3">
        <v>36.799999999999997</v>
      </c>
      <c r="D33">
        <v>1</v>
      </c>
      <c r="E33">
        <v>31</v>
      </c>
      <c r="F33">
        <v>15</v>
      </c>
      <c r="G33">
        <v>1</v>
      </c>
      <c r="H33">
        <v>14</v>
      </c>
      <c r="I33">
        <v>14</v>
      </c>
      <c r="J33" s="4">
        <v>1.268</v>
      </c>
      <c r="K33">
        <v>0</v>
      </c>
      <c r="L33" s="9">
        <v>124</v>
      </c>
      <c r="M33">
        <v>1</v>
      </c>
      <c r="N33" s="9">
        <v>8</v>
      </c>
      <c r="O33" s="3">
        <v>2.2999999999999998</v>
      </c>
      <c r="P33" s="3">
        <v>19.899999999999999</v>
      </c>
      <c r="Q33" s="3">
        <v>0</v>
      </c>
      <c r="R33" s="3">
        <v>0</v>
      </c>
      <c r="S33" s="3" t="s">
        <v>52</v>
      </c>
      <c r="T33" s="3">
        <v>31</v>
      </c>
      <c r="U33" s="3" t="s">
        <v>40</v>
      </c>
    </row>
    <row r="34" spans="1:21" x14ac:dyDescent="0.3">
      <c r="A34" t="s">
        <v>11</v>
      </c>
      <c r="B34" t="s">
        <v>31</v>
      </c>
      <c r="C34">
        <v>51.7</v>
      </c>
      <c r="D34">
        <v>0</v>
      </c>
      <c r="E34">
        <v>23</v>
      </c>
      <c r="F34">
        <v>10</v>
      </c>
      <c r="G34">
        <v>0</v>
      </c>
      <c r="H34">
        <v>0</v>
      </c>
      <c r="I34">
        <v>19</v>
      </c>
      <c r="J34">
        <v>90.89</v>
      </c>
      <c r="K34">
        <v>0</v>
      </c>
      <c r="L34" s="9">
        <v>124</v>
      </c>
      <c r="M34">
        <v>1</v>
      </c>
      <c r="N34" s="9">
        <v>8</v>
      </c>
      <c r="O34">
        <v>2.7</v>
      </c>
      <c r="P34">
        <v>44</v>
      </c>
      <c r="Q34">
        <v>0</v>
      </c>
      <c r="R34">
        <v>0</v>
      </c>
      <c r="S34" t="s">
        <v>52</v>
      </c>
      <c r="T34">
        <v>27</v>
      </c>
      <c r="U34" t="s">
        <v>40</v>
      </c>
    </row>
    <row r="35" spans="1:21" x14ac:dyDescent="0.3">
      <c r="A35" t="s">
        <v>11</v>
      </c>
      <c r="B35" t="s">
        <v>32</v>
      </c>
      <c r="C35">
        <v>101.5</v>
      </c>
      <c r="D35">
        <v>0</v>
      </c>
      <c r="E35">
        <v>23</v>
      </c>
      <c r="F35">
        <v>10</v>
      </c>
      <c r="G35">
        <v>0</v>
      </c>
      <c r="H35">
        <v>0</v>
      </c>
      <c r="I35">
        <v>19</v>
      </c>
      <c r="J35">
        <v>15.614000000000001</v>
      </c>
      <c r="K35">
        <v>0</v>
      </c>
      <c r="L35" s="9">
        <v>124</v>
      </c>
      <c r="M35">
        <v>1</v>
      </c>
      <c r="N35" s="9">
        <v>8</v>
      </c>
      <c r="O35">
        <v>11.8</v>
      </c>
      <c r="P35">
        <v>56.8</v>
      </c>
      <c r="Q35">
        <v>0</v>
      </c>
      <c r="R35">
        <v>0</v>
      </c>
      <c r="S35" t="s">
        <v>52</v>
      </c>
      <c r="T35">
        <v>27</v>
      </c>
      <c r="U35" t="s">
        <v>40</v>
      </c>
    </row>
    <row r="36" spans="1:21" x14ac:dyDescent="0.3">
      <c r="A36" t="s">
        <v>11</v>
      </c>
      <c r="B36" t="s">
        <v>33</v>
      </c>
      <c r="C36">
        <v>150.9</v>
      </c>
      <c r="D36">
        <v>0</v>
      </c>
      <c r="E36">
        <v>23</v>
      </c>
      <c r="F36">
        <v>10</v>
      </c>
      <c r="G36">
        <v>0</v>
      </c>
      <c r="H36">
        <v>0</v>
      </c>
      <c r="I36">
        <v>19</v>
      </c>
      <c r="J36">
        <v>21.495999999999999</v>
      </c>
      <c r="K36">
        <v>0</v>
      </c>
      <c r="L36" s="9">
        <v>108</v>
      </c>
      <c r="M36">
        <v>1</v>
      </c>
      <c r="N36" s="9">
        <v>8</v>
      </c>
      <c r="O36">
        <v>12.9</v>
      </c>
      <c r="P36">
        <v>58.6</v>
      </c>
      <c r="Q36">
        <v>5</v>
      </c>
      <c r="R36">
        <v>0</v>
      </c>
      <c r="S36" t="s">
        <v>52</v>
      </c>
      <c r="T36">
        <v>60</v>
      </c>
      <c r="U36" t="s">
        <v>40</v>
      </c>
    </row>
    <row r="37" spans="1:21" x14ac:dyDescent="0.3">
      <c r="A37" t="s">
        <v>11</v>
      </c>
      <c r="B37" t="s">
        <v>34</v>
      </c>
      <c r="C37">
        <v>201.5</v>
      </c>
      <c r="D37">
        <v>0</v>
      </c>
      <c r="E37">
        <v>23</v>
      </c>
      <c r="F37">
        <v>10</v>
      </c>
      <c r="G37">
        <v>0</v>
      </c>
      <c r="H37">
        <v>0</v>
      </c>
      <c r="I37">
        <v>19</v>
      </c>
      <c r="J37">
        <v>25.297999999999998</v>
      </c>
      <c r="K37">
        <v>0</v>
      </c>
      <c r="L37" s="9">
        <v>108</v>
      </c>
      <c r="M37">
        <v>1</v>
      </c>
      <c r="N37" s="9">
        <v>8</v>
      </c>
      <c r="O37">
        <v>15.2</v>
      </c>
      <c r="P37">
        <v>58.4</v>
      </c>
      <c r="Q37">
        <v>5</v>
      </c>
      <c r="R37">
        <v>0</v>
      </c>
      <c r="S37" t="s">
        <v>52</v>
      </c>
      <c r="T37">
        <v>64</v>
      </c>
      <c r="U37" t="s">
        <v>40</v>
      </c>
    </row>
    <row r="38" spans="1:21" s="12" customFormat="1" x14ac:dyDescent="0.3"/>
    <row r="39" spans="1:21" x14ac:dyDescent="0.3">
      <c r="A39" t="s">
        <v>10</v>
      </c>
      <c r="B39" t="s">
        <v>16</v>
      </c>
      <c r="C39">
        <v>157</v>
      </c>
      <c r="D39">
        <v>0</v>
      </c>
      <c r="E39">
        <v>19</v>
      </c>
      <c r="F39">
        <v>10</v>
      </c>
      <c r="G39">
        <v>0</v>
      </c>
      <c r="H39">
        <v>0</v>
      </c>
      <c r="I39">
        <v>9</v>
      </c>
      <c r="J39">
        <v>85</v>
      </c>
      <c r="K39">
        <v>0</v>
      </c>
      <c r="L39" s="9">
        <v>108</v>
      </c>
      <c r="M39">
        <v>1</v>
      </c>
      <c r="N39" s="9">
        <v>8</v>
      </c>
      <c r="O39">
        <v>4.3</v>
      </c>
      <c r="P39">
        <v>3.2</v>
      </c>
      <c r="Q39">
        <v>40</v>
      </c>
      <c r="R39">
        <v>100</v>
      </c>
      <c r="S39" t="s">
        <v>52</v>
      </c>
      <c r="T39" s="3">
        <v>45</v>
      </c>
      <c r="U39" t="s">
        <v>63</v>
      </c>
    </row>
    <row r="40" spans="1:21" x14ac:dyDescent="0.3">
      <c r="A40" t="s">
        <v>10</v>
      </c>
      <c r="B40" t="s">
        <v>17</v>
      </c>
      <c r="C40">
        <v>156</v>
      </c>
      <c r="D40">
        <v>0</v>
      </c>
      <c r="E40">
        <v>19</v>
      </c>
      <c r="F40">
        <v>10</v>
      </c>
      <c r="G40">
        <v>0</v>
      </c>
      <c r="H40">
        <v>0</v>
      </c>
      <c r="I40">
        <v>9</v>
      </c>
      <c r="J40">
        <v>70</v>
      </c>
      <c r="K40">
        <v>0</v>
      </c>
      <c r="L40" s="9">
        <v>108</v>
      </c>
      <c r="M40">
        <v>1</v>
      </c>
      <c r="N40" s="9">
        <v>8</v>
      </c>
      <c r="O40">
        <v>4.5</v>
      </c>
      <c r="P40">
        <v>23.9</v>
      </c>
      <c r="Q40">
        <v>39</v>
      </c>
      <c r="R40">
        <v>100</v>
      </c>
      <c r="S40" t="s">
        <v>52</v>
      </c>
      <c r="T40">
        <v>28</v>
      </c>
      <c r="U40" t="s">
        <v>63</v>
      </c>
    </row>
    <row r="41" spans="1:21" x14ac:dyDescent="0.3">
      <c r="A41" t="s">
        <v>10</v>
      </c>
      <c r="B41" t="s">
        <v>18</v>
      </c>
      <c r="C41">
        <v>6.36</v>
      </c>
      <c r="D41">
        <v>0</v>
      </c>
      <c r="E41">
        <v>19</v>
      </c>
      <c r="F41">
        <v>10</v>
      </c>
      <c r="G41">
        <v>0</v>
      </c>
      <c r="H41">
        <v>0</v>
      </c>
      <c r="I41">
        <v>9</v>
      </c>
      <c r="J41">
        <v>60</v>
      </c>
      <c r="K41">
        <v>0</v>
      </c>
      <c r="L41" s="9">
        <v>108</v>
      </c>
      <c r="M41">
        <v>1</v>
      </c>
      <c r="N41" s="9">
        <v>8</v>
      </c>
      <c r="O41">
        <v>4.4000000000000004</v>
      </c>
      <c r="P41">
        <v>2.2999999999999998</v>
      </c>
      <c r="Q41">
        <v>41</v>
      </c>
      <c r="R41">
        <v>100</v>
      </c>
      <c r="S41" t="s">
        <v>52</v>
      </c>
      <c r="T41">
        <v>29</v>
      </c>
      <c r="U41" t="s">
        <v>63</v>
      </c>
    </row>
    <row r="42" spans="1:21" x14ac:dyDescent="0.3">
      <c r="A42" s="3" t="s">
        <v>10</v>
      </c>
      <c r="B42" s="3" t="s">
        <v>19</v>
      </c>
      <c r="C42" s="3">
        <v>6.07</v>
      </c>
      <c r="D42">
        <v>0</v>
      </c>
      <c r="E42">
        <v>19</v>
      </c>
      <c r="F42">
        <v>10</v>
      </c>
      <c r="G42">
        <v>0</v>
      </c>
      <c r="H42">
        <v>0</v>
      </c>
      <c r="I42">
        <v>9</v>
      </c>
      <c r="J42" s="3">
        <v>60</v>
      </c>
      <c r="K42">
        <v>0</v>
      </c>
      <c r="L42" s="9">
        <v>108</v>
      </c>
      <c r="M42">
        <v>1</v>
      </c>
      <c r="N42" s="9">
        <v>8</v>
      </c>
      <c r="O42" s="3">
        <v>4.4000000000000004</v>
      </c>
      <c r="P42" s="3">
        <v>2.4</v>
      </c>
      <c r="Q42" s="3">
        <v>40</v>
      </c>
      <c r="R42" s="3">
        <v>100</v>
      </c>
      <c r="S42" t="s">
        <v>52</v>
      </c>
      <c r="T42">
        <v>31</v>
      </c>
      <c r="U42" t="s">
        <v>63</v>
      </c>
    </row>
    <row r="43" spans="1:21" x14ac:dyDescent="0.3">
      <c r="A43" s="3" t="s">
        <v>12</v>
      </c>
      <c r="B43" s="3" t="s">
        <v>16</v>
      </c>
      <c r="C43" s="3">
        <v>157</v>
      </c>
      <c r="D43">
        <v>0</v>
      </c>
      <c r="E43">
        <v>21</v>
      </c>
      <c r="F43">
        <v>7</v>
      </c>
      <c r="G43">
        <v>0</v>
      </c>
      <c r="H43">
        <v>0</v>
      </c>
      <c r="I43">
        <v>13</v>
      </c>
      <c r="J43" s="3">
        <v>86</v>
      </c>
      <c r="K43">
        <v>0</v>
      </c>
      <c r="L43" s="9">
        <v>124</v>
      </c>
      <c r="M43">
        <v>1</v>
      </c>
      <c r="N43" s="9">
        <v>8</v>
      </c>
      <c r="O43">
        <v>4.3</v>
      </c>
      <c r="P43">
        <v>2.9</v>
      </c>
      <c r="Q43">
        <v>78</v>
      </c>
      <c r="R43">
        <v>100</v>
      </c>
      <c r="S43" s="3" t="s">
        <v>52</v>
      </c>
      <c r="T43">
        <v>29</v>
      </c>
      <c r="U43" t="s">
        <v>63</v>
      </c>
    </row>
    <row r="44" spans="1:21" x14ac:dyDescent="0.3">
      <c r="A44" t="s">
        <v>12</v>
      </c>
      <c r="B44" t="s">
        <v>17</v>
      </c>
      <c r="C44">
        <v>156</v>
      </c>
      <c r="D44">
        <v>0</v>
      </c>
      <c r="E44">
        <v>21</v>
      </c>
      <c r="F44">
        <v>7</v>
      </c>
      <c r="G44">
        <v>0</v>
      </c>
      <c r="H44">
        <v>0</v>
      </c>
      <c r="I44">
        <v>13</v>
      </c>
      <c r="J44" s="3">
        <v>75</v>
      </c>
      <c r="K44">
        <v>0</v>
      </c>
      <c r="L44" s="9">
        <v>124</v>
      </c>
      <c r="M44">
        <v>1</v>
      </c>
      <c r="N44" s="9">
        <v>8</v>
      </c>
      <c r="O44">
        <v>4.3</v>
      </c>
      <c r="P44">
        <v>2.9</v>
      </c>
      <c r="Q44">
        <v>75</v>
      </c>
      <c r="R44">
        <v>100</v>
      </c>
      <c r="S44" t="s">
        <v>52</v>
      </c>
      <c r="T44">
        <v>70</v>
      </c>
      <c r="U44" t="s">
        <v>63</v>
      </c>
    </row>
    <row r="45" spans="1:21" x14ac:dyDescent="0.3">
      <c r="A45" s="3" t="s">
        <v>12</v>
      </c>
      <c r="B45" s="3" t="s">
        <v>18</v>
      </c>
      <c r="C45" s="3">
        <v>6.36</v>
      </c>
      <c r="D45">
        <v>0</v>
      </c>
      <c r="E45">
        <v>21</v>
      </c>
      <c r="F45">
        <v>7</v>
      </c>
      <c r="G45">
        <v>0</v>
      </c>
      <c r="H45">
        <v>0</v>
      </c>
      <c r="I45">
        <v>13</v>
      </c>
      <c r="J45" s="3">
        <v>63</v>
      </c>
      <c r="K45">
        <v>0</v>
      </c>
      <c r="L45" s="9">
        <v>124</v>
      </c>
      <c r="M45">
        <v>1</v>
      </c>
      <c r="N45" s="9">
        <v>8</v>
      </c>
      <c r="O45">
        <v>4.3</v>
      </c>
      <c r="P45">
        <v>2.9</v>
      </c>
      <c r="Q45" s="3">
        <v>75</v>
      </c>
      <c r="R45" s="3">
        <v>100</v>
      </c>
      <c r="S45" s="3" t="s">
        <v>52</v>
      </c>
      <c r="T45">
        <v>70</v>
      </c>
      <c r="U45" t="s">
        <v>63</v>
      </c>
    </row>
    <row r="46" spans="1:21" x14ac:dyDescent="0.3">
      <c r="A46" s="3" t="s">
        <v>12</v>
      </c>
      <c r="B46" s="3" t="s">
        <v>19</v>
      </c>
      <c r="C46" s="3">
        <v>6.07</v>
      </c>
      <c r="D46">
        <v>0</v>
      </c>
      <c r="E46">
        <v>21</v>
      </c>
      <c r="F46">
        <v>7</v>
      </c>
      <c r="G46">
        <v>0</v>
      </c>
      <c r="H46">
        <v>0</v>
      </c>
      <c r="I46">
        <v>13</v>
      </c>
      <c r="J46" s="3">
        <v>85</v>
      </c>
      <c r="K46">
        <v>0</v>
      </c>
      <c r="L46" s="9">
        <v>124</v>
      </c>
      <c r="M46">
        <v>1</v>
      </c>
      <c r="N46" s="9">
        <v>8</v>
      </c>
      <c r="O46">
        <v>4.3</v>
      </c>
      <c r="P46">
        <v>2.9</v>
      </c>
      <c r="Q46" s="3">
        <v>75</v>
      </c>
      <c r="R46" s="3">
        <v>100</v>
      </c>
      <c r="S46" s="3" t="s">
        <v>52</v>
      </c>
      <c r="T46">
        <v>70</v>
      </c>
      <c r="U46" t="s">
        <v>63</v>
      </c>
    </row>
    <row r="47" spans="1:21" x14ac:dyDescent="0.3">
      <c r="A47" t="s">
        <v>9</v>
      </c>
      <c r="B47" t="s">
        <v>34</v>
      </c>
      <c r="C47">
        <v>548</v>
      </c>
      <c r="D47">
        <v>0</v>
      </c>
      <c r="E47">
        <v>24</v>
      </c>
      <c r="F47">
        <v>11</v>
      </c>
      <c r="G47">
        <v>1</v>
      </c>
      <c r="H47">
        <v>0</v>
      </c>
      <c r="I47">
        <v>17</v>
      </c>
      <c r="J47">
        <v>1.8740000000000001</v>
      </c>
      <c r="K47">
        <v>0</v>
      </c>
      <c r="L47" s="9">
        <v>144</v>
      </c>
      <c r="M47">
        <v>1</v>
      </c>
      <c r="N47" s="9">
        <v>100</v>
      </c>
      <c r="O47">
        <v>9.1</v>
      </c>
      <c r="P47">
        <v>3.8</v>
      </c>
      <c r="Q47">
        <v>0</v>
      </c>
      <c r="R47">
        <v>6</v>
      </c>
      <c r="S47" t="s">
        <v>52</v>
      </c>
      <c r="T47">
        <v>77</v>
      </c>
      <c r="U47" t="s">
        <v>63</v>
      </c>
    </row>
    <row r="48" spans="1:21" x14ac:dyDescent="0.3">
      <c r="A48" t="s">
        <v>37</v>
      </c>
      <c r="B48" t="s">
        <v>34</v>
      </c>
      <c r="C48">
        <v>508</v>
      </c>
      <c r="D48">
        <v>0</v>
      </c>
      <c r="E48">
        <v>24</v>
      </c>
      <c r="F48">
        <v>11</v>
      </c>
      <c r="G48">
        <v>1</v>
      </c>
      <c r="H48">
        <v>0</v>
      </c>
      <c r="I48">
        <v>17</v>
      </c>
      <c r="J48">
        <v>1.772</v>
      </c>
      <c r="K48">
        <v>0</v>
      </c>
      <c r="L48" s="9">
        <v>144</v>
      </c>
      <c r="M48">
        <v>1</v>
      </c>
      <c r="N48" s="9">
        <v>100</v>
      </c>
      <c r="O48">
        <v>9</v>
      </c>
      <c r="P48">
        <v>3.6</v>
      </c>
      <c r="Q48">
        <v>0</v>
      </c>
      <c r="R48">
        <v>1</v>
      </c>
      <c r="S48" t="s">
        <v>52</v>
      </c>
      <c r="T48" s="3">
        <v>35</v>
      </c>
      <c r="U48" t="s">
        <v>63</v>
      </c>
    </row>
    <row r="49" spans="1:21" x14ac:dyDescent="0.3">
      <c r="A49" t="s">
        <v>38</v>
      </c>
      <c r="B49" t="s">
        <v>34</v>
      </c>
      <c r="C49">
        <v>528</v>
      </c>
      <c r="D49">
        <v>0</v>
      </c>
      <c r="E49">
        <v>24</v>
      </c>
      <c r="F49">
        <v>11</v>
      </c>
      <c r="G49">
        <v>1</v>
      </c>
      <c r="H49">
        <v>0</v>
      </c>
      <c r="I49">
        <v>17</v>
      </c>
      <c r="J49">
        <v>2.1240000000000001</v>
      </c>
      <c r="K49">
        <v>0</v>
      </c>
      <c r="L49" s="9">
        <v>144</v>
      </c>
      <c r="M49">
        <v>1</v>
      </c>
      <c r="N49" s="9">
        <v>100</v>
      </c>
      <c r="O49">
        <v>15</v>
      </c>
      <c r="P49">
        <v>3</v>
      </c>
      <c r="Q49">
        <v>0</v>
      </c>
      <c r="R49">
        <v>2</v>
      </c>
      <c r="S49" t="s">
        <v>52</v>
      </c>
      <c r="T49">
        <v>31</v>
      </c>
      <c r="U49" t="s">
        <v>63</v>
      </c>
    </row>
    <row r="50" spans="1:21" x14ac:dyDescent="0.3">
      <c r="A50" t="s">
        <v>39</v>
      </c>
      <c r="B50" t="s">
        <v>34</v>
      </c>
      <c r="C50">
        <v>507</v>
      </c>
      <c r="D50">
        <v>0</v>
      </c>
      <c r="E50">
        <v>24</v>
      </c>
      <c r="F50">
        <v>11</v>
      </c>
      <c r="G50">
        <v>1</v>
      </c>
      <c r="H50">
        <v>0</v>
      </c>
      <c r="I50">
        <v>17</v>
      </c>
      <c r="J50">
        <v>1.8320000000000001</v>
      </c>
      <c r="K50">
        <v>0</v>
      </c>
      <c r="L50" s="9">
        <v>144</v>
      </c>
      <c r="M50">
        <v>1</v>
      </c>
      <c r="N50" s="9">
        <v>100</v>
      </c>
      <c r="O50">
        <v>10</v>
      </c>
      <c r="P50">
        <v>2.1</v>
      </c>
      <c r="Q50">
        <v>0</v>
      </c>
      <c r="R50">
        <v>14</v>
      </c>
      <c r="S50" t="s">
        <v>52</v>
      </c>
      <c r="T50">
        <v>29</v>
      </c>
      <c r="U50" t="s">
        <v>63</v>
      </c>
    </row>
    <row r="51" spans="1:21" x14ac:dyDescent="0.3">
      <c r="A51" t="s">
        <v>11</v>
      </c>
      <c r="B51" t="s">
        <v>31</v>
      </c>
      <c r="C51">
        <v>51.7</v>
      </c>
      <c r="D51">
        <v>0</v>
      </c>
      <c r="E51">
        <v>23</v>
      </c>
      <c r="F51">
        <v>10</v>
      </c>
      <c r="G51">
        <v>0</v>
      </c>
      <c r="H51">
        <v>0</v>
      </c>
      <c r="I51">
        <v>19</v>
      </c>
      <c r="J51">
        <v>3.6509999999999998</v>
      </c>
      <c r="K51">
        <v>0</v>
      </c>
      <c r="L51" s="9">
        <v>133</v>
      </c>
      <c r="M51">
        <v>1</v>
      </c>
      <c r="N51" s="9">
        <v>100</v>
      </c>
      <c r="O51">
        <v>25</v>
      </c>
      <c r="P51">
        <f>P18</f>
        <v>11.8</v>
      </c>
      <c r="Q51">
        <v>19</v>
      </c>
      <c r="R51">
        <v>70</v>
      </c>
      <c r="S51" t="s">
        <v>52</v>
      </c>
      <c r="T51">
        <v>70</v>
      </c>
      <c r="U51" t="s">
        <v>63</v>
      </c>
    </row>
    <row r="52" spans="1:21" x14ac:dyDescent="0.3">
      <c r="A52" t="s">
        <v>11</v>
      </c>
      <c r="B52" t="s">
        <v>32</v>
      </c>
      <c r="C52">
        <v>101.5</v>
      </c>
      <c r="D52">
        <v>0</v>
      </c>
      <c r="E52">
        <v>23</v>
      </c>
      <c r="F52">
        <v>10</v>
      </c>
      <c r="G52">
        <v>0</v>
      </c>
      <c r="H52">
        <v>0</v>
      </c>
      <c r="I52">
        <v>19</v>
      </c>
      <c r="J52">
        <v>4.5119999999999996</v>
      </c>
      <c r="K52">
        <v>0</v>
      </c>
      <c r="L52" s="9">
        <v>133</v>
      </c>
      <c r="M52">
        <v>1</v>
      </c>
      <c r="N52" s="9">
        <v>100</v>
      </c>
      <c r="O52">
        <v>27</v>
      </c>
      <c r="P52">
        <v>9.1999999999999993</v>
      </c>
      <c r="Q52">
        <v>19</v>
      </c>
      <c r="R52">
        <v>68</v>
      </c>
      <c r="S52" t="s">
        <v>52</v>
      </c>
      <c r="T52">
        <v>70</v>
      </c>
      <c r="U52" t="s">
        <v>63</v>
      </c>
    </row>
    <row r="53" spans="1:21" x14ac:dyDescent="0.3">
      <c r="A53" t="s">
        <v>11</v>
      </c>
      <c r="B53" t="s">
        <v>33</v>
      </c>
      <c r="C53">
        <v>150.9</v>
      </c>
      <c r="D53">
        <v>0</v>
      </c>
      <c r="E53">
        <v>23</v>
      </c>
      <c r="F53">
        <v>10</v>
      </c>
      <c r="G53">
        <v>0</v>
      </c>
      <c r="H53">
        <v>0</v>
      </c>
      <c r="I53">
        <v>19</v>
      </c>
      <c r="J53">
        <v>8.5380000000000003</v>
      </c>
      <c r="K53">
        <v>0</v>
      </c>
      <c r="L53" s="9">
        <v>133</v>
      </c>
      <c r="M53">
        <v>1</v>
      </c>
      <c r="N53" s="9">
        <v>100</v>
      </c>
      <c r="O53">
        <v>27</v>
      </c>
      <c r="P53">
        <v>10.1</v>
      </c>
      <c r="Q53">
        <v>18</v>
      </c>
      <c r="R53">
        <v>65</v>
      </c>
      <c r="S53" t="s">
        <v>52</v>
      </c>
      <c r="T53">
        <v>70</v>
      </c>
      <c r="U53" t="s">
        <v>63</v>
      </c>
    </row>
    <row r="54" spans="1:21" x14ac:dyDescent="0.3">
      <c r="A54" t="s">
        <v>11</v>
      </c>
      <c r="B54" t="s">
        <v>34</v>
      </c>
      <c r="C54">
        <v>201.5</v>
      </c>
      <c r="D54">
        <v>0</v>
      </c>
      <c r="E54">
        <v>23</v>
      </c>
      <c r="F54">
        <v>10</v>
      </c>
      <c r="G54">
        <v>0</v>
      </c>
      <c r="H54">
        <v>0</v>
      </c>
      <c r="I54">
        <v>19</v>
      </c>
      <c r="J54">
        <v>9.2439999999999998</v>
      </c>
      <c r="K54">
        <v>0</v>
      </c>
      <c r="L54" s="9">
        <v>133</v>
      </c>
      <c r="M54">
        <v>1</v>
      </c>
      <c r="N54" s="9">
        <v>100</v>
      </c>
      <c r="O54">
        <v>23</v>
      </c>
      <c r="P54">
        <v>11</v>
      </c>
      <c r="Q54">
        <v>20</v>
      </c>
      <c r="R54">
        <v>70</v>
      </c>
      <c r="S54" t="s">
        <v>52</v>
      </c>
      <c r="T54">
        <v>77</v>
      </c>
      <c r="U54" t="s">
        <v>63</v>
      </c>
    </row>
    <row r="55" spans="1:21" x14ac:dyDescent="0.3">
      <c r="A55" s="3" t="s">
        <v>15</v>
      </c>
      <c r="B55" s="3" t="s">
        <v>44</v>
      </c>
      <c r="C55" s="3">
        <v>103</v>
      </c>
      <c r="D55">
        <v>1</v>
      </c>
      <c r="E55">
        <v>31</v>
      </c>
      <c r="F55">
        <v>15</v>
      </c>
      <c r="G55">
        <v>1</v>
      </c>
      <c r="H55">
        <v>1</v>
      </c>
      <c r="I55">
        <v>14</v>
      </c>
      <c r="J55" s="4">
        <v>1.645</v>
      </c>
      <c r="K55">
        <v>0</v>
      </c>
      <c r="L55" s="9">
        <v>138</v>
      </c>
      <c r="M55">
        <v>1</v>
      </c>
      <c r="N55" s="9">
        <v>100</v>
      </c>
      <c r="O55" s="3">
        <v>3</v>
      </c>
      <c r="P55" s="3">
        <v>14</v>
      </c>
      <c r="Q55" s="3">
        <v>1.5</v>
      </c>
      <c r="R55" s="3">
        <v>3</v>
      </c>
      <c r="S55" s="3" t="s">
        <v>52</v>
      </c>
      <c r="T55" s="3">
        <v>35</v>
      </c>
      <c r="U55" t="s">
        <v>63</v>
      </c>
    </row>
    <row r="56" spans="1:21" x14ac:dyDescent="0.3">
      <c r="A56" s="3" t="s">
        <v>15</v>
      </c>
      <c r="B56" s="3" t="s">
        <v>43</v>
      </c>
      <c r="C56" s="3">
        <v>36.799999999999997</v>
      </c>
      <c r="D56">
        <v>1</v>
      </c>
      <c r="E56">
        <v>31</v>
      </c>
      <c r="F56">
        <v>15</v>
      </c>
      <c r="G56">
        <v>1</v>
      </c>
      <c r="H56">
        <v>1</v>
      </c>
      <c r="I56">
        <v>14</v>
      </c>
      <c r="J56" s="3">
        <v>1.7210000000000001</v>
      </c>
      <c r="K56">
        <v>0</v>
      </c>
      <c r="L56" s="9">
        <v>138</v>
      </c>
      <c r="M56">
        <v>1</v>
      </c>
      <c r="N56" s="9">
        <v>100</v>
      </c>
      <c r="O56" s="3">
        <v>4.0999999999999996</v>
      </c>
      <c r="P56" s="3">
        <v>14.3</v>
      </c>
      <c r="Q56" s="3">
        <v>1.5</v>
      </c>
      <c r="R56" s="3">
        <v>17</v>
      </c>
      <c r="S56" s="3" t="s">
        <v>52</v>
      </c>
      <c r="T56" s="3">
        <v>34</v>
      </c>
      <c r="U56" t="s">
        <v>63</v>
      </c>
    </row>
    <row r="57" spans="1:21" s="13" customFormat="1" x14ac:dyDescent="0.3"/>
    <row r="58" spans="1:21" x14ac:dyDescent="0.3">
      <c r="A58" t="s">
        <v>10</v>
      </c>
      <c r="B58" t="s">
        <v>16</v>
      </c>
      <c r="C58">
        <v>157</v>
      </c>
      <c r="D58">
        <v>0</v>
      </c>
      <c r="E58">
        <v>19</v>
      </c>
      <c r="F58">
        <v>10</v>
      </c>
      <c r="G58">
        <v>0</v>
      </c>
      <c r="H58">
        <v>0</v>
      </c>
      <c r="I58">
        <v>9</v>
      </c>
      <c r="J58">
        <v>65</v>
      </c>
      <c r="K58">
        <v>0</v>
      </c>
      <c r="L58" s="9">
        <v>108</v>
      </c>
      <c r="M58">
        <v>1</v>
      </c>
      <c r="N58" s="9">
        <v>8</v>
      </c>
      <c r="O58">
        <v>3.2</v>
      </c>
      <c r="P58">
        <v>3.4</v>
      </c>
      <c r="Q58">
        <v>25</v>
      </c>
      <c r="R58">
        <v>100</v>
      </c>
      <c r="S58" t="s">
        <v>52</v>
      </c>
      <c r="T58" s="3">
        <v>45</v>
      </c>
      <c r="U58" s="14" t="s">
        <v>65</v>
      </c>
    </row>
    <row r="59" spans="1:21" x14ac:dyDescent="0.3">
      <c r="A59" t="s">
        <v>10</v>
      </c>
      <c r="B59" t="s">
        <v>17</v>
      </c>
      <c r="C59">
        <v>156</v>
      </c>
      <c r="D59">
        <v>0</v>
      </c>
      <c r="E59">
        <v>19</v>
      </c>
      <c r="F59">
        <v>10</v>
      </c>
      <c r="G59">
        <v>0</v>
      </c>
      <c r="H59">
        <v>0</v>
      </c>
      <c r="I59">
        <v>9</v>
      </c>
      <c r="J59">
        <v>50.48</v>
      </c>
      <c r="K59">
        <v>0</v>
      </c>
      <c r="L59" s="9">
        <v>108</v>
      </c>
      <c r="M59">
        <v>1</v>
      </c>
      <c r="N59" s="9">
        <v>8</v>
      </c>
      <c r="O59">
        <v>2.7</v>
      </c>
      <c r="P59">
        <v>2.9</v>
      </c>
      <c r="Q59">
        <v>24</v>
      </c>
      <c r="R59">
        <v>100</v>
      </c>
      <c r="S59" t="s">
        <v>52</v>
      </c>
      <c r="T59">
        <v>28</v>
      </c>
      <c r="U59" t="s">
        <v>65</v>
      </c>
    </row>
    <row r="60" spans="1:21" x14ac:dyDescent="0.3">
      <c r="A60" t="s">
        <v>10</v>
      </c>
      <c r="B60" t="s">
        <v>18</v>
      </c>
      <c r="C60">
        <v>6.36</v>
      </c>
      <c r="D60">
        <v>0</v>
      </c>
      <c r="E60">
        <v>19</v>
      </c>
      <c r="F60">
        <v>10</v>
      </c>
      <c r="G60">
        <v>0</v>
      </c>
      <c r="H60">
        <v>0</v>
      </c>
      <c r="I60">
        <v>9</v>
      </c>
      <c r="J60">
        <v>44</v>
      </c>
      <c r="K60">
        <v>0</v>
      </c>
      <c r="L60" s="9">
        <v>108</v>
      </c>
      <c r="M60">
        <v>1</v>
      </c>
      <c r="N60" s="9">
        <v>8</v>
      </c>
      <c r="O60">
        <v>2.9</v>
      </c>
      <c r="P60">
        <v>3.1</v>
      </c>
      <c r="Q60">
        <v>27</v>
      </c>
      <c r="R60">
        <v>100</v>
      </c>
      <c r="S60" t="s">
        <v>52</v>
      </c>
      <c r="T60">
        <v>29</v>
      </c>
      <c r="U60" t="s">
        <v>65</v>
      </c>
    </row>
    <row r="61" spans="1:21" x14ac:dyDescent="0.3">
      <c r="A61" s="3" t="s">
        <v>10</v>
      </c>
      <c r="B61" s="3" t="s">
        <v>19</v>
      </c>
      <c r="C61" s="3">
        <v>6.07</v>
      </c>
      <c r="D61">
        <v>0</v>
      </c>
      <c r="E61">
        <v>19</v>
      </c>
      <c r="F61">
        <v>10</v>
      </c>
      <c r="G61">
        <v>0</v>
      </c>
      <c r="H61">
        <v>0</v>
      </c>
      <c r="I61">
        <v>9</v>
      </c>
      <c r="J61" s="3">
        <v>44</v>
      </c>
      <c r="K61">
        <v>0</v>
      </c>
      <c r="L61" s="9">
        <v>108</v>
      </c>
      <c r="M61">
        <v>1</v>
      </c>
      <c r="N61" s="9">
        <v>8</v>
      </c>
      <c r="O61" s="3">
        <v>2.8</v>
      </c>
      <c r="P61" s="3">
        <v>1.8</v>
      </c>
      <c r="Q61" s="3">
        <v>30</v>
      </c>
      <c r="R61" s="3">
        <v>100</v>
      </c>
      <c r="S61" t="s">
        <v>52</v>
      </c>
      <c r="T61">
        <v>31</v>
      </c>
      <c r="U61" t="s">
        <v>65</v>
      </c>
    </row>
    <row r="62" spans="1:21" x14ac:dyDescent="0.3">
      <c r="A62" s="3" t="s">
        <v>12</v>
      </c>
      <c r="B62" s="3" t="s">
        <v>16</v>
      </c>
      <c r="C62" s="3">
        <v>157</v>
      </c>
      <c r="D62">
        <v>0</v>
      </c>
      <c r="E62">
        <v>21</v>
      </c>
      <c r="F62">
        <v>7</v>
      </c>
      <c r="G62">
        <v>0</v>
      </c>
      <c r="H62">
        <v>0</v>
      </c>
      <c r="I62">
        <v>13</v>
      </c>
      <c r="J62" s="3">
        <v>50.737000000000002</v>
      </c>
      <c r="K62">
        <v>0</v>
      </c>
      <c r="L62" s="9">
        <v>124</v>
      </c>
      <c r="M62">
        <v>1</v>
      </c>
      <c r="N62" s="9">
        <v>8</v>
      </c>
      <c r="O62">
        <v>2.7</v>
      </c>
      <c r="P62">
        <v>1.7</v>
      </c>
      <c r="Q62">
        <v>54</v>
      </c>
      <c r="R62">
        <v>100</v>
      </c>
      <c r="S62" s="3" t="s">
        <v>52</v>
      </c>
      <c r="T62">
        <v>29</v>
      </c>
      <c r="U62" t="s">
        <v>65</v>
      </c>
    </row>
    <row r="63" spans="1:21" x14ac:dyDescent="0.3">
      <c r="A63" t="s">
        <v>12</v>
      </c>
      <c r="B63" t="s">
        <v>17</v>
      </c>
      <c r="C63">
        <v>156</v>
      </c>
      <c r="D63">
        <v>0</v>
      </c>
      <c r="E63">
        <v>21</v>
      </c>
      <c r="F63">
        <v>7</v>
      </c>
      <c r="G63">
        <v>0</v>
      </c>
      <c r="H63">
        <v>0</v>
      </c>
      <c r="I63">
        <v>13</v>
      </c>
      <c r="J63" s="3">
        <v>51.429000000000002</v>
      </c>
      <c r="K63">
        <v>0</v>
      </c>
      <c r="L63" s="9">
        <v>124</v>
      </c>
      <c r="M63">
        <v>1</v>
      </c>
      <c r="N63" s="9">
        <v>8</v>
      </c>
      <c r="O63">
        <v>2.7</v>
      </c>
      <c r="P63">
        <v>1.7</v>
      </c>
      <c r="Q63">
        <v>53</v>
      </c>
      <c r="R63">
        <v>100</v>
      </c>
      <c r="S63" t="s">
        <v>52</v>
      </c>
      <c r="T63">
        <v>70</v>
      </c>
      <c r="U63" t="s">
        <v>65</v>
      </c>
    </row>
    <row r="64" spans="1:21" x14ac:dyDescent="0.3">
      <c r="A64" s="3" t="s">
        <v>12</v>
      </c>
      <c r="B64" s="3" t="s">
        <v>18</v>
      </c>
      <c r="C64" s="3">
        <v>6.36</v>
      </c>
      <c r="D64">
        <v>0</v>
      </c>
      <c r="E64">
        <v>21</v>
      </c>
      <c r="F64">
        <v>7</v>
      </c>
      <c r="G64">
        <v>0</v>
      </c>
      <c r="H64">
        <v>0</v>
      </c>
      <c r="I64">
        <v>13</v>
      </c>
      <c r="J64" s="3">
        <v>41.905999999999999</v>
      </c>
      <c r="K64">
        <v>0</v>
      </c>
      <c r="L64" s="9">
        <v>124</v>
      </c>
      <c r="M64">
        <v>1</v>
      </c>
      <c r="N64" s="9">
        <v>8</v>
      </c>
      <c r="O64" s="3">
        <v>2.7</v>
      </c>
      <c r="P64" s="3">
        <v>1.7</v>
      </c>
      <c r="Q64" s="3">
        <v>52</v>
      </c>
      <c r="R64" s="3">
        <v>100</v>
      </c>
      <c r="S64" s="3" t="s">
        <v>52</v>
      </c>
      <c r="T64">
        <v>70</v>
      </c>
      <c r="U64" t="s">
        <v>65</v>
      </c>
    </row>
    <row r="65" spans="1:21" x14ac:dyDescent="0.3">
      <c r="A65" s="3" t="s">
        <v>12</v>
      </c>
      <c r="B65" s="3" t="s">
        <v>19</v>
      </c>
      <c r="C65" s="3">
        <v>6.07</v>
      </c>
      <c r="D65">
        <v>0</v>
      </c>
      <c r="E65">
        <v>21</v>
      </c>
      <c r="F65">
        <v>7</v>
      </c>
      <c r="G65">
        <v>0</v>
      </c>
      <c r="H65">
        <v>0</v>
      </c>
      <c r="I65">
        <v>13</v>
      </c>
      <c r="J65" s="3">
        <v>60.508000000000003</v>
      </c>
      <c r="K65">
        <v>0</v>
      </c>
      <c r="L65" s="9">
        <v>124</v>
      </c>
      <c r="M65">
        <v>1</v>
      </c>
      <c r="N65" s="9">
        <v>8</v>
      </c>
      <c r="O65" s="3">
        <v>2.7</v>
      </c>
      <c r="P65" s="3">
        <v>1.8</v>
      </c>
      <c r="Q65" s="3">
        <v>56</v>
      </c>
      <c r="R65" s="3">
        <v>100</v>
      </c>
      <c r="S65" s="3" t="s">
        <v>52</v>
      </c>
      <c r="T65">
        <v>70</v>
      </c>
      <c r="U65" t="s">
        <v>65</v>
      </c>
    </row>
    <row r="66" spans="1:21" x14ac:dyDescent="0.3">
      <c r="A66" t="s">
        <v>9</v>
      </c>
      <c r="B66" t="s">
        <v>34</v>
      </c>
      <c r="C66">
        <v>548</v>
      </c>
      <c r="D66">
        <v>0</v>
      </c>
      <c r="E66">
        <v>24</v>
      </c>
      <c r="F66">
        <v>11</v>
      </c>
      <c r="G66">
        <v>1</v>
      </c>
      <c r="H66">
        <v>0</v>
      </c>
      <c r="I66">
        <v>17</v>
      </c>
      <c r="J66">
        <v>1.8740000000000001</v>
      </c>
      <c r="K66">
        <v>0</v>
      </c>
      <c r="L66" s="9">
        <v>144</v>
      </c>
      <c r="M66">
        <v>1</v>
      </c>
      <c r="N66" s="9">
        <v>100</v>
      </c>
      <c r="O66">
        <v>9.1</v>
      </c>
      <c r="P66">
        <v>3.3</v>
      </c>
      <c r="Q66">
        <v>0</v>
      </c>
      <c r="R66">
        <v>6</v>
      </c>
      <c r="S66" t="s">
        <v>52</v>
      </c>
      <c r="T66">
        <v>77</v>
      </c>
      <c r="U66" t="s">
        <v>65</v>
      </c>
    </row>
    <row r="67" spans="1:21" x14ac:dyDescent="0.3">
      <c r="A67" t="s">
        <v>37</v>
      </c>
      <c r="B67" t="s">
        <v>34</v>
      </c>
      <c r="C67">
        <v>508</v>
      </c>
      <c r="D67">
        <v>0</v>
      </c>
      <c r="E67">
        <v>24</v>
      </c>
      <c r="F67">
        <v>11</v>
      </c>
      <c r="G67">
        <v>1</v>
      </c>
      <c r="H67">
        <v>0</v>
      </c>
      <c r="I67">
        <v>17</v>
      </c>
      <c r="J67">
        <v>1.772</v>
      </c>
      <c r="K67">
        <v>0</v>
      </c>
      <c r="L67" s="9">
        <v>144</v>
      </c>
      <c r="M67">
        <v>1</v>
      </c>
      <c r="N67" s="9">
        <v>100</v>
      </c>
      <c r="O67">
        <v>9.4</v>
      </c>
      <c r="P67">
        <v>3.3</v>
      </c>
      <c r="Q67">
        <v>0</v>
      </c>
      <c r="R67">
        <v>1</v>
      </c>
      <c r="S67" t="s">
        <v>52</v>
      </c>
      <c r="T67" s="3">
        <v>35</v>
      </c>
      <c r="U67" t="s">
        <v>65</v>
      </c>
    </row>
    <row r="68" spans="1:21" x14ac:dyDescent="0.3">
      <c r="A68" t="s">
        <v>38</v>
      </c>
      <c r="B68" t="s">
        <v>34</v>
      </c>
      <c r="C68">
        <v>528</v>
      </c>
      <c r="D68">
        <v>0</v>
      </c>
      <c r="E68">
        <v>24</v>
      </c>
      <c r="F68">
        <v>11</v>
      </c>
      <c r="G68">
        <v>1</v>
      </c>
      <c r="H68">
        <v>0</v>
      </c>
      <c r="I68">
        <v>17</v>
      </c>
      <c r="J68">
        <v>2.1240000000000001</v>
      </c>
      <c r="K68">
        <v>0</v>
      </c>
      <c r="L68" s="9">
        <v>144</v>
      </c>
      <c r="M68">
        <v>1</v>
      </c>
      <c r="N68" s="9">
        <v>100</v>
      </c>
      <c r="O68">
        <v>13.3</v>
      </c>
      <c r="P68">
        <v>4.0999999999999996</v>
      </c>
      <c r="Q68">
        <v>0</v>
      </c>
      <c r="R68">
        <v>2</v>
      </c>
      <c r="S68" t="s">
        <v>52</v>
      </c>
      <c r="T68">
        <v>31</v>
      </c>
      <c r="U68" t="s">
        <v>65</v>
      </c>
    </row>
    <row r="69" spans="1:21" x14ac:dyDescent="0.3">
      <c r="A69" t="s">
        <v>39</v>
      </c>
      <c r="B69" t="s">
        <v>34</v>
      </c>
      <c r="C69">
        <v>507</v>
      </c>
      <c r="D69">
        <v>0</v>
      </c>
      <c r="E69">
        <v>24</v>
      </c>
      <c r="F69">
        <v>11</v>
      </c>
      <c r="G69">
        <v>1</v>
      </c>
      <c r="H69">
        <v>0</v>
      </c>
      <c r="I69">
        <v>17</v>
      </c>
      <c r="J69">
        <v>1.8320000000000001</v>
      </c>
      <c r="K69">
        <v>0</v>
      </c>
      <c r="L69" s="9">
        <v>144</v>
      </c>
      <c r="M69">
        <v>1</v>
      </c>
      <c r="N69" s="9">
        <v>100</v>
      </c>
      <c r="O69">
        <v>12</v>
      </c>
      <c r="P69">
        <v>3.3</v>
      </c>
      <c r="Q69">
        <v>0</v>
      </c>
      <c r="R69">
        <v>14</v>
      </c>
      <c r="S69" t="s">
        <v>52</v>
      </c>
      <c r="T69">
        <v>29</v>
      </c>
      <c r="U69" t="s">
        <v>65</v>
      </c>
    </row>
    <row r="70" spans="1:21" x14ac:dyDescent="0.3">
      <c r="A70" t="s">
        <v>11</v>
      </c>
      <c r="B70" t="s">
        <v>31</v>
      </c>
      <c r="C70">
        <v>51.7</v>
      </c>
      <c r="D70">
        <v>0</v>
      </c>
      <c r="E70">
        <v>23</v>
      </c>
      <c r="F70">
        <v>10</v>
      </c>
      <c r="G70">
        <v>0</v>
      </c>
      <c r="H70">
        <v>0</v>
      </c>
      <c r="I70">
        <v>19</v>
      </c>
      <c r="J70">
        <v>3.6509999999999998</v>
      </c>
      <c r="K70">
        <v>0</v>
      </c>
      <c r="L70" s="9">
        <v>133</v>
      </c>
      <c r="M70">
        <v>1</v>
      </c>
      <c r="N70" s="9">
        <v>100</v>
      </c>
      <c r="O70">
        <v>24</v>
      </c>
      <c r="P70">
        <v>10.3</v>
      </c>
      <c r="Q70">
        <v>19</v>
      </c>
      <c r="R70">
        <v>70</v>
      </c>
      <c r="S70" t="s">
        <v>52</v>
      </c>
      <c r="T70">
        <v>70</v>
      </c>
      <c r="U70" t="s">
        <v>65</v>
      </c>
    </row>
    <row r="71" spans="1:21" x14ac:dyDescent="0.3">
      <c r="A71" t="s">
        <v>11</v>
      </c>
      <c r="B71" t="s">
        <v>32</v>
      </c>
      <c r="C71">
        <v>101.5</v>
      </c>
      <c r="D71">
        <v>0</v>
      </c>
      <c r="E71">
        <v>23</v>
      </c>
      <c r="F71">
        <v>10</v>
      </c>
      <c r="G71">
        <v>0</v>
      </c>
      <c r="H71">
        <v>0</v>
      </c>
      <c r="I71">
        <v>19</v>
      </c>
      <c r="J71">
        <v>4.5119999999999996</v>
      </c>
      <c r="K71">
        <v>0</v>
      </c>
      <c r="L71" s="9">
        <v>133</v>
      </c>
      <c r="M71">
        <v>1</v>
      </c>
      <c r="N71" s="9">
        <v>100</v>
      </c>
      <c r="O71">
        <v>23</v>
      </c>
      <c r="P71">
        <v>9.3000000000000007</v>
      </c>
      <c r="Q71">
        <v>34</v>
      </c>
      <c r="R71">
        <v>68</v>
      </c>
      <c r="S71" t="s">
        <v>52</v>
      </c>
      <c r="T71">
        <v>70</v>
      </c>
      <c r="U71" t="s">
        <v>65</v>
      </c>
    </row>
    <row r="72" spans="1:21" x14ac:dyDescent="0.3">
      <c r="A72" t="s">
        <v>11</v>
      </c>
      <c r="B72" t="s">
        <v>33</v>
      </c>
      <c r="C72">
        <v>150.9</v>
      </c>
      <c r="D72">
        <v>0</v>
      </c>
      <c r="E72">
        <v>23</v>
      </c>
      <c r="F72">
        <v>10</v>
      </c>
      <c r="G72">
        <v>0</v>
      </c>
      <c r="H72">
        <v>0</v>
      </c>
      <c r="I72">
        <v>19</v>
      </c>
      <c r="J72">
        <v>8.5380000000000003</v>
      </c>
      <c r="K72">
        <v>0</v>
      </c>
      <c r="L72" s="9">
        <v>133</v>
      </c>
      <c r="M72">
        <v>1</v>
      </c>
      <c r="N72" s="9">
        <v>100</v>
      </c>
      <c r="O72">
        <v>24</v>
      </c>
      <c r="P72">
        <v>11</v>
      </c>
      <c r="Q72">
        <v>23</v>
      </c>
      <c r="R72">
        <v>65</v>
      </c>
      <c r="S72" t="s">
        <v>52</v>
      </c>
      <c r="T72">
        <v>70</v>
      </c>
      <c r="U72" t="s">
        <v>65</v>
      </c>
    </row>
    <row r="73" spans="1:21" x14ac:dyDescent="0.3">
      <c r="A73" t="s">
        <v>11</v>
      </c>
      <c r="B73" t="s">
        <v>34</v>
      </c>
      <c r="C73">
        <v>201.5</v>
      </c>
      <c r="D73">
        <v>0</v>
      </c>
      <c r="E73">
        <v>23</v>
      </c>
      <c r="F73">
        <v>10</v>
      </c>
      <c r="G73">
        <v>0</v>
      </c>
      <c r="H73">
        <v>0</v>
      </c>
      <c r="I73">
        <v>19</v>
      </c>
      <c r="J73">
        <v>9.2439999999999998</v>
      </c>
      <c r="K73">
        <v>0</v>
      </c>
      <c r="L73" s="9">
        <v>133</v>
      </c>
      <c r="M73">
        <v>1</v>
      </c>
      <c r="N73" s="9">
        <v>100</v>
      </c>
      <c r="O73">
        <v>18</v>
      </c>
      <c r="P73">
        <v>11.7</v>
      </c>
      <c r="Q73">
        <v>18</v>
      </c>
      <c r="R73">
        <v>70</v>
      </c>
      <c r="S73" t="s">
        <v>52</v>
      </c>
      <c r="T73">
        <v>77</v>
      </c>
      <c r="U73" t="s">
        <v>65</v>
      </c>
    </row>
    <row r="74" spans="1:21" x14ac:dyDescent="0.3">
      <c r="A74" s="3" t="s">
        <v>15</v>
      </c>
      <c r="B74" s="3" t="s">
        <v>44</v>
      </c>
      <c r="C74" s="3">
        <v>103</v>
      </c>
      <c r="D74">
        <v>1</v>
      </c>
      <c r="E74">
        <v>31</v>
      </c>
      <c r="F74">
        <v>15</v>
      </c>
      <c r="G74">
        <v>1</v>
      </c>
      <c r="H74">
        <v>1</v>
      </c>
      <c r="I74">
        <v>14</v>
      </c>
      <c r="J74" s="4">
        <v>1.645</v>
      </c>
      <c r="K74">
        <v>0</v>
      </c>
      <c r="L74" s="9">
        <v>138</v>
      </c>
      <c r="M74">
        <v>1</v>
      </c>
      <c r="N74" s="9">
        <v>100</v>
      </c>
      <c r="O74" s="3">
        <v>4</v>
      </c>
      <c r="P74" s="3">
        <v>11.8</v>
      </c>
      <c r="Q74" s="3">
        <v>1.51</v>
      </c>
      <c r="R74" s="3">
        <v>3</v>
      </c>
      <c r="S74" s="3" t="s">
        <v>52</v>
      </c>
      <c r="T74" s="3">
        <v>35</v>
      </c>
      <c r="U74" t="s">
        <v>65</v>
      </c>
    </row>
    <row r="75" spans="1:21" x14ac:dyDescent="0.3">
      <c r="A75" s="3" t="s">
        <v>15</v>
      </c>
      <c r="B75" s="3" t="s">
        <v>43</v>
      </c>
      <c r="C75" s="3">
        <v>36.799999999999997</v>
      </c>
      <c r="D75">
        <v>1</v>
      </c>
      <c r="E75">
        <v>31</v>
      </c>
      <c r="F75">
        <v>15</v>
      </c>
      <c r="G75">
        <v>1</v>
      </c>
      <c r="H75">
        <v>1</v>
      </c>
      <c r="I75">
        <v>14</v>
      </c>
      <c r="J75" s="3">
        <v>1.7210000000000001</v>
      </c>
      <c r="K75">
        <v>0</v>
      </c>
      <c r="L75" s="9">
        <v>138</v>
      </c>
      <c r="M75">
        <v>1</v>
      </c>
      <c r="N75" s="9">
        <v>100</v>
      </c>
      <c r="O75" s="3">
        <v>3.3</v>
      </c>
      <c r="P75" s="3">
        <v>12</v>
      </c>
      <c r="Q75" s="3">
        <v>1.4</v>
      </c>
      <c r="R75" s="3">
        <v>17</v>
      </c>
      <c r="S75" s="3" t="s">
        <v>52</v>
      </c>
      <c r="T75" s="3">
        <v>34</v>
      </c>
      <c r="U75" t="s">
        <v>65</v>
      </c>
    </row>
  </sheetData>
  <phoneticPr fontId="2" type="noConversion"/>
  <hyperlinks>
    <hyperlink ref="U58" r:id="rId1" display="\\\\" xr:uid="{450B2120-0C3F-48EB-9E1F-44DF507E913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573D6-7AB5-4E3A-932A-DC5D8745F9A6}">
  <dimension ref="A1:AE208"/>
  <sheetViews>
    <sheetView tabSelected="1" topLeftCell="H1" workbookViewId="0">
      <selection activeCell="AB64" sqref="AB64"/>
    </sheetView>
  </sheetViews>
  <sheetFormatPr defaultRowHeight="14.4" x14ac:dyDescent="0.3"/>
  <cols>
    <col min="11" max="11" width="17.5546875" customWidth="1"/>
    <col min="13" max="13" width="8.88671875" customWidth="1"/>
    <col min="18" max="18" width="17.5546875" customWidth="1"/>
  </cols>
  <sheetData>
    <row r="1" spans="1:28" x14ac:dyDescent="0.3">
      <c r="A1" s="1" t="s">
        <v>0</v>
      </c>
      <c r="B1" s="1" t="s">
        <v>1</v>
      </c>
      <c r="C1" s="1" t="s">
        <v>66</v>
      </c>
      <c r="D1" s="1" t="s">
        <v>20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22</v>
      </c>
      <c r="L1" s="1" t="s">
        <v>36</v>
      </c>
      <c r="M1" s="1" t="s">
        <v>54</v>
      </c>
      <c r="N1" s="1" t="s">
        <v>41</v>
      </c>
      <c r="O1" s="6" t="s">
        <v>48</v>
      </c>
      <c r="P1" s="1" t="s">
        <v>25</v>
      </c>
      <c r="Q1" s="1" t="s">
        <v>26</v>
      </c>
      <c r="R1" s="1" t="s">
        <v>27</v>
      </c>
      <c r="S1" s="1" t="s">
        <v>28</v>
      </c>
      <c r="T1" s="1" t="s">
        <v>3</v>
      </c>
      <c r="U1" s="10" t="s">
        <v>24</v>
      </c>
      <c r="V1" s="1" t="s">
        <v>4</v>
      </c>
      <c r="W1" s="1" t="s">
        <v>5</v>
      </c>
      <c r="X1" s="1" t="s">
        <v>6</v>
      </c>
      <c r="Y1" s="1" t="s">
        <v>7</v>
      </c>
      <c r="Z1" s="1" t="s">
        <v>8</v>
      </c>
      <c r="AB1" s="1" t="s">
        <v>69</v>
      </c>
    </row>
    <row r="2" spans="1:28" x14ac:dyDescent="0.3">
      <c r="A2" t="s">
        <v>10</v>
      </c>
      <c r="B2" t="s">
        <v>16</v>
      </c>
      <c r="C2" s="3" t="s">
        <v>67</v>
      </c>
      <c r="D2">
        <v>157</v>
      </c>
      <c r="E2">
        <v>44</v>
      </c>
      <c r="F2">
        <v>467</v>
      </c>
      <c r="G2">
        <v>106</v>
      </c>
      <c r="H2">
        <v>0</v>
      </c>
      <c r="I2">
        <v>9</v>
      </c>
      <c r="J2">
        <v>150</v>
      </c>
      <c r="K2">
        <v>38551</v>
      </c>
      <c r="L2">
        <v>3</v>
      </c>
      <c r="M2">
        <v>108</v>
      </c>
      <c r="N2">
        <v>409259</v>
      </c>
      <c r="O2" s="3">
        <v>8</v>
      </c>
      <c r="P2">
        <v>3.5</v>
      </c>
      <c r="Q2">
        <v>3.4</v>
      </c>
      <c r="R2">
        <v>34</v>
      </c>
      <c r="S2">
        <v>95</v>
      </c>
      <c r="T2" t="s">
        <v>23</v>
      </c>
      <c r="U2" s="11">
        <v>79</v>
      </c>
      <c r="V2" t="s">
        <v>65</v>
      </c>
      <c r="W2" s="3"/>
      <c r="AB2">
        <v>34</v>
      </c>
    </row>
    <row r="3" spans="1:28" x14ac:dyDescent="0.3">
      <c r="A3" s="3" t="s">
        <v>12</v>
      </c>
      <c r="B3" s="3" t="s">
        <v>17</v>
      </c>
      <c r="C3" s="3" t="s">
        <v>67</v>
      </c>
      <c r="D3" s="3">
        <v>156</v>
      </c>
      <c r="E3" s="3">
        <v>53</v>
      </c>
      <c r="F3" s="3">
        <v>511</v>
      </c>
      <c r="G3" s="3">
        <v>114</v>
      </c>
      <c r="H3" s="3">
        <v>1</v>
      </c>
      <c r="I3" s="3">
        <v>10</v>
      </c>
      <c r="J3" s="3">
        <v>162</v>
      </c>
      <c r="K3" s="3">
        <v>33401</v>
      </c>
      <c r="L3" s="3">
        <v>3</v>
      </c>
      <c r="M3" s="3">
        <v>124</v>
      </c>
      <c r="N3" s="3"/>
      <c r="O3" s="3">
        <v>8</v>
      </c>
      <c r="P3" s="3">
        <v>5.2</v>
      </c>
      <c r="Q3" s="3">
        <v>2.8</v>
      </c>
      <c r="R3" s="3">
        <v>53</v>
      </c>
      <c r="S3" s="3">
        <v>100</v>
      </c>
      <c r="T3" s="3" t="s">
        <v>23</v>
      </c>
      <c r="U3" s="3">
        <v>49</v>
      </c>
      <c r="V3" t="s">
        <v>65</v>
      </c>
      <c r="W3" s="3"/>
      <c r="X3" s="3"/>
      <c r="Y3" s="3"/>
      <c r="Z3" s="3"/>
      <c r="AB3" s="3">
        <v>53</v>
      </c>
    </row>
    <row r="4" spans="1:28" x14ac:dyDescent="0.3">
      <c r="A4" s="3" t="s">
        <v>15</v>
      </c>
      <c r="B4" s="3" t="s">
        <v>56</v>
      </c>
      <c r="C4" s="3" t="s">
        <v>67</v>
      </c>
      <c r="D4" s="3">
        <v>36.799999999999997</v>
      </c>
      <c r="E4" s="3">
        <v>2</v>
      </c>
      <c r="F4" s="3">
        <v>12</v>
      </c>
      <c r="G4" s="3">
        <v>5</v>
      </c>
      <c r="H4" s="3">
        <v>0</v>
      </c>
      <c r="I4" s="3">
        <v>0</v>
      </c>
      <c r="J4" s="3">
        <v>5</v>
      </c>
      <c r="K4" s="3">
        <v>2210</v>
      </c>
      <c r="L4" s="3">
        <v>1</v>
      </c>
      <c r="M4" s="3">
        <v>60</v>
      </c>
      <c r="N4" s="3">
        <v>8980</v>
      </c>
      <c r="O4" s="3">
        <v>16</v>
      </c>
      <c r="P4" s="3">
        <v>2.6</v>
      </c>
      <c r="Q4" s="3">
        <v>4.4000000000000004</v>
      </c>
      <c r="R4" s="3">
        <v>87</v>
      </c>
      <c r="S4" s="3">
        <v>7</v>
      </c>
      <c r="T4" s="3" t="s">
        <v>23</v>
      </c>
      <c r="U4" s="11">
        <v>70</v>
      </c>
      <c r="V4" t="s">
        <v>65</v>
      </c>
      <c r="W4" s="3"/>
      <c r="X4" s="3"/>
      <c r="Y4" s="3"/>
      <c r="Z4" s="3"/>
      <c r="AB4" s="3">
        <v>87</v>
      </c>
    </row>
    <row r="5" spans="1:28" x14ac:dyDescent="0.3">
      <c r="A5" s="3" t="s">
        <v>10</v>
      </c>
      <c r="B5" s="3" t="s">
        <v>19</v>
      </c>
      <c r="C5" s="3" t="s">
        <v>67</v>
      </c>
      <c r="D5" s="3">
        <v>6.07</v>
      </c>
      <c r="E5">
        <v>44</v>
      </c>
      <c r="F5">
        <v>467</v>
      </c>
      <c r="G5">
        <v>106</v>
      </c>
      <c r="H5">
        <v>0</v>
      </c>
      <c r="I5">
        <v>9</v>
      </c>
      <c r="J5">
        <v>150</v>
      </c>
      <c r="K5" s="3">
        <v>612</v>
      </c>
      <c r="L5" s="3">
        <v>3</v>
      </c>
      <c r="M5" s="3">
        <v>108</v>
      </c>
      <c r="N5" s="3">
        <v>404917</v>
      </c>
      <c r="O5" s="3">
        <v>8</v>
      </c>
      <c r="P5" s="3">
        <v>2.6</v>
      </c>
      <c r="Q5" s="3">
        <v>1.8</v>
      </c>
      <c r="R5" s="3">
        <v>32</v>
      </c>
      <c r="S5" s="3">
        <v>100</v>
      </c>
      <c r="T5" s="3" t="s">
        <v>23</v>
      </c>
      <c r="U5" s="11">
        <v>49</v>
      </c>
      <c r="V5" t="s">
        <v>65</v>
      </c>
      <c r="W5" s="3"/>
      <c r="X5" s="3"/>
      <c r="Y5" s="3"/>
      <c r="Z5" s="3"/>
      <c r="AB5" s="3">
        <v>32</v>
      </c>
    </row>
    <row r="6" spans="1:28" x14ac:dyDescent="0.3">
      <c r="A6" t="s">
        <v>10</v>
      </c>
      <c r="B6" t="s">
        <v>18</v>
      </c>
      <c r="C6" s="3" t="s">
        <v>67</v>
      </c>
      <c r="D6">
        <v>6.36</v>
      </c>
      <c r="E6">
        <v>44</v>
      </c>
      <c r="F6">
        <v>467</v>
      </c>
      <c r="G6">
        <v>106</v>
      </c>
      <c r="H6">
        <v>0</v>
      </c>
      <c r="I6">
        <v>9</v>
      </c>
      <c r="J6">
        <v>150</v>
      </c>
      <c r="K6">
        <v>609</v>
      </c>
      <c r="L6">
        <v>3</v>
      </c>
      <c r="M6">
        <v>108</v>
      </c>
      <c r="N6">
        <v>435327</v>
      </c>
      <c r="O6" s="3">
        <v>8</v>
      </c>
      <c r="P6">
        <v>3.5</v>
      </c>
      <c r="Q6">
        <v>1.4</v>
      </c>
      <c r="R6">
        <v>30</v>
      </c>
      <c r="S6">
        <v>100</v>
      </c>
      <c r="T6" t="s">
        <v>23</v>
      </c>
      <c r="U6" s="11">
        <v>55</v>
      </c>
      <c r="V6" t="s">
        <v>65</v>
      </c>
      <c r="AB6">
        <v>30</v>
      </c>
    </row>
    <row r="7" spans="1:28" x14ac:dyDescent="0.3">
      <c r="A7" s="3" t="s">
        <v>12</v>
      </c>
      <c r="B7" s="3" t="s">
        <v>19</v>
      </c>
      <c r="C7" s="3" t="s">
        <v>67</v>
      </c>
      <c r="D7" s="3">
        <v>6.07</v>
      </c>
      <c r="E7" s="3">
        <v>53</v>
      </c>
      <c r="F7" s="3">
        <v>511</v>
      </c>
      <c r="G7" s="3">
        <v>114</v>
      </c>
      <c r="H7" s="3">
        <v>1</v>
      </c>
      <c r="I7" s="3">
        <v>10</v>
      </c>
      <c r="J7" s="3">
        <v>162</v>
      </c>
      <c r="K7" s="3">
        <v>598</v>
      </c>
      <c r="L7" s="3">
        <v>3</v>
      </c>
      <c r="M7" s="3">
        <v>124</v>
      </c>
      <c r="N7" s="3">
        <v>139095</v>
      </c>
      <c r="O7" s="3">
        <v>8</v>
      </c>
      <c r="P7" s="3">
        <v>5.2</v>
      </c>
      <c r="Q7" s="3">
        <v>5.2</v>
      </c>
      <c r="R7" s="3">
        <v>54</v>
      </c>
      <c r="S7" s="3">
        <v>98</v>
      </c>
      <c r="T7" s="3" t="s">
        <v>23</v>
      </c>
      <c r="U7" s="3">
        <v>55</v>
      </c>
      <c r="V7" t="s">
        <v>65</v>
      </c>
      <c r="W7" s="3"/>
      <c r="X7" s="3"/>
      <c r="Y7" s="3"/>
      <c r="Z7" s="3"/>
      <c r="AB7" s="3">
        <v>54</v>
      </c>
    </row>
    <row r="8" spans="1:28" x14ac:dyDescent="0.3">
      <c r="A8" s="3" t="s">
        <v>12</v>
      </c>
      <c r="B8" s="3" t="s">
        <v>18</v>
      </c>
      <c r="C8" s="3" t="s">
        <v>67</v>
      </c>
      <c r="D8" s="3">
        <v>6.36</v>
      </c>
      <c r="E8" s="3">
        <v>53</v>
      </c>
      <c r="F8" s="3">
        <v>511</v>
      </c>
      <c r="G8" s="3">
        <v>114</v>
      </c>
      <c r="H8" s="3">
        <v>1</v>
      </c>
      <c r="I8" s="3">
        <v>10</v>
      </c>
      <c r="J8" s="3">
        <v>162</v>
      </c>
      <c r="K8" s="3">
        <v>537</v>
      </c>
      <c r="L8" s="3">
        <v>3</v>
      </c>
      <c r="M8" s="3">
        <v>124</v>
      </c>
      <c r="N8" s="3">
        <v>137380</v>
      </c>
      <c r="O8" s="3">
        <v>8</v>
      </c>
      <c r="P8" s="3">
        <v>5.2</v>
      </c>
      <c r="Q8" s="3">
        <v>3.8</v>
      </c>
      <c r="R8" s="3">
        <v>60</v>
      </c>
      <c r="S8" s="3">
        <v>97</v>
      </c>
      <c r="T8" s="3" t="s">
        <v>23</v>
      </c>
      <c r="U8" s="3">
        <v>45</v>
      </c>
      <c r="V8" t="s">
        <v>65</v>
      </c>
      <c r="W8" s="3"/>
      <c r="X8" s="3"/>
      <c r="Y8" s="3"/>
      <c r="Z8" s="3"/>
      <c r="AB8" s="3">
        <v>60</v>
      </c>
    </row>
    <row r="9" spans="1:28" x14ac:dyDescent="0.3">
      <c r="A9" s="3" t="s">
        <v>15</v>
      </c>
      <c r="B9" s="3" t="s">
        <v>55</v>
      </c>
      <c r="C9" s="3" t="s">
        <v>67</v>
      </c>
      <c r="D9" s="3">
        <v>103</v>
      </c>
      <c r="E9" s="3">
        <v>2</v>
      </c>
      <c r="F9" s="3">
        <v>12</v>
      </c>
      <c r="G9" s="3">
        <v>5</v>
      </c>
      <c r="H9" s="3">
        <v>0</v>
      </c>
      <c r="I9" s="3">
        <v>0</v>
      </c>
      <c r="J9" s="3">
        <v>5</v>
      </c>
      <c r="K9" s="3">
        <v>210</v>
      </c>
      <c r="L9" s="3">
        <v>1</v>
      </c>
      <c r="M9" s="3">
        <v>60</v>
      </c>
      <c r="N9" s="4">
        <v>957786</v>
      </c>
      <c r="O9" s="3">
        <v>16</v>
      </c>
      <c r="P9" s="3">
        <v>2.7</v>
      </c>
      <c r="Q9" s="3">
        <v>4.3</v>
      </c>
      <c r="R9" s="3">
        <v>88</v>
      </c>
      <c r="S9" s="3">
        <v>11</v>
      </c>
      <c r="T9" s="3" t="s">
        <v>23</v>
      </c>
      <c r="U9" s="11">
        <v>69</v>
      </c>
      <c r="V9" t="s">
        <v>65</v>
      </c>
      <c r="W9" s="3"/>
      <c r="X9" s="3"/>
      <c r="Y9" s="3"/>
      <c r="Z9" s="3"/>
      <c r="AB9" s="3">
        <v>88</v>
      </c>
    </row>
    <row r="10" spans="1:28" x14ac:dyDescent="0.3">
      <c r="A10" t="s">
        <v>10</v>
      </c>
      <c r="B10" t="s">
        <v>16</v>
      </c>
      <c r="C10" s="3" t="s">
        <v>67</v>
      </c>
      <c r="D10">
        <v>157</v>
      </c>
      <c r="E10">
        <v>0</v>
      </c>
      <c r="F10">
        <v>19</v>
      </c>
      <c r="G10">
        <v>10</v>
      </c>
      <c r="H10">
        <v>0</v>
      </c>
      <c r="I10">
        <v>0</v>
      </c>
      <c r="J10">
        <v>9</v>
      </c>
      <c r="K10">
        <v>65</v>
      </c>
      <c r="L10">
        <v>0</v>
      </c>
      <c r="M10" s="9">
        <v>108</v>
      </c>
      <c r="N10">
        <v>1</v>
      </c>
      <c r="O10" s="9">
        <v>8</v>
      </c>
      <c r="P10">
        <v>3.2</v>
      </c>
      <c r="Q10">
        <v>3.4</v>
      </c>
      <c r="R10">
        <v>25</v>
      </c>
      <c r="S10">
        <v>100</v>
      </c>
      <c r="T10" t="s">
        <v>52</v>
      </c>
      <c r="U10" s="3">
        <v>45</v>
      </c>
      <c r="V10" s="14" t="s">
        <v>65</v>
      </c>
      <c r="AB10">
        <v>25</v>
      </c>
    </row>
    <row r="11" spans="1:28" x14ac:dyDescent="0.3">
      <c r="A11" s="3" t="s">
        <v>12</v>
      </c>
      <c r="B11" s="3" t="s">
        <v>19</v>
      </c>
      <c r="C11" s="3" t="s">
        <v>67</v>
      </c>
      <c r="D11" s="3">
        <v>6.07</v>
      </c>
      <c r="E11">
        <v>0</v>
      </c>
      <c r="F11">
        <v>21</v>
      </c>
      <c r="G11">
        <v>7</v>
      </c>
      <c r="H11">
        <v>0</v>
      </c>
      <c r="I11">
        <v>0</v>
      </c>
      <c r="J11">
        <v>13</v>
      </c>
      <c r="K11" s="3">
        <v>60.508000000000003</v>
      </c>
      <c r="L11">
        <v>0</v>
      </c>
      <c r="M11" s="9">
        <v>124</v>
      </c>
      <c r="N11">
        <v>1</v>
      </c>
      <c r="O11" s="9">
        <v>8</v>
      </c>
      <c r="P11" s="3">
        <v>2.7</v>
      </c>
      <c r="Q11" s="3">
        <v>1.8</v>
      </c>
      <c r="R11" s="3">
        <v>56</v>
      </c>
      <c r="S11" s="3">
        <v>100</v>
      </c>
      <c r="T11" s="3" t="s">
        <v>52</v>
      </c>
      <c r="U11">
        <v>70</v>
      </c>
      <c r="V11" t="s">
        <v>65</v>
      </c>
      <c r="AB11" s="3">
        <v>56</v>
      </c>
    </row>
    <row r="12" spans="1:28" x14ac:dyDescent="0.3">
      <c r="A12" t="s">
        <v>12</v>
      </c>
      <c r="B12" t="s">
        <v>17</v>
      </c>
      <c r="C12" s="3" t="s">
        <v>67</v>
      </c>
      <c r="D12">
        <v>156</v>
      </c>
      <c r="E12">
        <v>0</v>
      </c>
      <c r="F12">
        <v>21</v>
      </c>
      <c r="G12">
        <v>7</v>
      </c>
      <c r="H12">
        <v>0</v>
      </c>
      <c r="I12">
        <v>0</v>
      </c>
      <c r="J12">
        <v>13</v>
      </c>
      <c r="K12" s="3">
        <v>51.429000000000002</v>
      </c>
      <c r="L12">
        <v>0</v>
      </c>
      <c r="M12" s="9">
        <v>124</v>
      </c>
      <c r="N12">
        <v>1</v>
      </c>
      <c r="O12" s="9">
        <v>8</v>
      </c>
      <c r="P12">
        <v>2.7</v>
      </c>
      <c r="Q12">
        <v>1.7</v>
      </c>
      <c r="R12">
        <v>53</v>
      </c>
      <c r="S12">
        <v>100</v>
      </c>
      <c r="T12" t="s">
        <v>52</v>
      </c>
      <c r="U12">
        <v>70</v>
      </c>
      <c r="V12" t="s">
        <v>65</v>
      </c>
      <c r="AB12">
        <v>53</v>
      </c>
    </row>
    <row r="13" spans="1:28" x14ac:dyDescent="0.3">
      <c r="A13" s="3" t="s">
        <v>12</v>
      </c>
      <c r="B13" s="3" t="s">
        <v>16</v>
      </c>
      <c r="C13" s="3" t="s">
        <v>67</v>
      </c>
      <c r="D13" s="3">
        <v>157</v>
      </c>
      <c r="E13">
        <v>0</v>
      </c>
      <c r="F13">
        <v>21</v>
      </c>
      <c r="G13">
        <v>7</v>
      </c>
      <c r="H13">
        <v>0</v>
      </c>
      <c r="I13">
        <v>0</v>
      </c>
      <c r="J13">
        <v>13</v>
      </c>
      <c r="K13" s="3">
        <v>50.737000000000002</v>
      </c>
      <c r="L13">
        <v>0</v>
      </c>
      <c r="M13" s="9">
        <v>124</v>
      </c>
      <c r="N13">
        <v>1</v>
      </c>
      <c r="O13" s="9">
        <v>8</v>
      </c>
      <c r="P13">
        <v>2.7</v>
      </c>
      <c r="Q13">
        <v>1.7</v>
      </c>
      <c r="R13">
        <v>54</v>
      </c>
      <c r="S13">
        <v>100</v>
      </c>
      <c r="T13" s="3" t="s">
        <v>52</v>
      </c>
      <c r="U13">
        <v>29</v>
      </c>
      <c r="V13" t="s">
        <v>65</v>
      </c>
      <c r="AB13">
        <v>54</v>
      </c>
    </row>
    <row r="14" spans="1:28" x14ac:dyDescent="0.3">
      <c r="A14" t="s">
        <v>10</v>
      </c>
      <c r="B14" t="s">
        <v>17</v>
      </c>
      <c r="C14" s="3" t="s">
        <v>67</v>
      </c>
      <c r="D14">
        <v>156</v>
      </c>
      <c r="E14">
        <v>0</v>
      </c>
      <c r="F14">
        <v>19</v>
      </c>
      <c r="G14">
        <v>10</v>
      </c>
      <c r="H14">
        <v>0</v>
      </c>
      <c r="I14">
        <v>0</v>
      </c>
      <c r="J14">
        <v>9</v>
      </c>
      <c r="K14">
        <v>50.48</v>
      </c>
      <c r="L14">
        <v>0</v>
      </c>
      <c r="M14" s="9">
        <v>108</v>
      </c>
      <c r="N14">
        <v>1</v>
      </c>
      <c r="O14" s="9">
        <v>8</v>
      </c>
      <c r="P14">
        <v>2.7</v>
      </c>
      <c r="Q14">
        <v>2.9</v>
      </c>
      <c r="R14">
        <v>24</v>
      </c>
      <c r="S14">
        <v>100</v>
      </c>
      <c r="T14" t="s">
        <v>52</v>
      </c>
      <c r="U14">
        <v>28</v>
      </c>
      <c r="V14" t="s">
        <v>65</v>
      </c>
      <c r="AB14">
        <v>24</v>
      </c>
    </row>
    <row r="15" spans="1:28" x14ac:dyDescent="0.3">
      <c r="A15" t="s">
        <v>10</v>
      </c>
      <c r="B15" t="s">
        <v>18</v>
      </c>
      <c r="C15" s="3" t="s">
        <v>67</v>
      </c>
      <c r="D15">
        <v>6.36</v>
      </c>
      <c r="E15">
        <v>0</v>
      </c>
      <c r="F15">
        <v>19</v>
      </c>
      <c r="G15">
        <v>10</v>
      </c>
      <c r="H15">
        <v>0</v>
      </c>
      <c r="I15">
        <v>0</v>
      </c>
      <c r="J15">
        <v>9</v>
      </c>
      <c r="K15">
        <v>44</v>
      </c>
      <c r="L15">
        <v>0</v>
      </c>
      <c r="M15" s="9">
        <v>108</v>
      </c>
      <c r="N15">
        <v>1</v>
      </c>
      <c r="O15" s="9">
        <v>8</v>
      </c>
      <c r="P15">
        <v>2.9</v>
      </c>
      <c r="Q15">
        <v>3.1</v>
      </c>
      <c r="R15">
        <v>27</v>
      </c>
      <c r="S15">
        <v>100</v>
      </c>
      <c r="T15" t="s">
        <v>52</v>
      </c>
      <c r="U15">
        <v>29</v>
      </c>
      <c r="V15" t="s">
        <v>65</v>
      </c>
      <c r="AB15">
        <v>27</v>
      </c>
    </row>
    <row r="16" spans="1:28" x14ac:dyDescent="0.3">
      <c r="A16" s="3" t="s">
        <v>10</v>
      </c>
      <c r="B16" s="3" t="s">
        <v>19</v>
      </c>
      <c r="C16" s="3" t="s">
        <v>67</v>
      </c>
      <c r="D16" s="3">
        <v>6.07</v>
      </c>
      <c r="E16">
        <v>0</v>
      </c>
      <c r="F16">
        <v>19</v>
      </c>
      <c r="G16">
        <v>10</v>
      </c>
      <c r="H16">
        <v>0</v>
      </c>
      <c r="I16">
        <v>0</v>
      </c>
      <c r="J16">
        <v>9</v>
      </c>
      <c r="K16" s="3">
        <v>44</v>
      </c>
      <c r="L16">
        <v>0</v>
      </c>
      <c r="M16" s="9">
        <v>108</v>
      </c>
      <c r="N16">
        <v>1</v>
      </c>
      <c r="O16" s="9">
        <v>8</v>
      </c>
      <c r="P16" s="3">
        <v>2.8</v>
      </c>
      <c r="Q16" s="3">
        <v>1.8</v>
      </c>
      <c r="R16" s="3">
        <v>30</v>
      </c>
      <c r="S16" s="3">
        <v>100</v>
      </c>
      <c r="T16" t="s">
        <v>52</v>
      </c>
      <c r="U16">
        <v>31</v>
      </c>
      <c r="V16" t="s">
        <v>65</v>
      </c>
      <c r="AB16" s="3">
        <v>30</v>
      </c>
    </row>
    <row r="17" spans="1:28" x14ac:dyDescent="0.3">
      <c r="A17" s="3" t="s">
        <v>12</v>
      </c>
      <c r="B17" s="3" t="s">
        <v>18</v>
      </c>
      <c r="C17" s="3" t="s">
        <v>67</v>
      </c>
      <c r="D17" s="3">
        <v>6.36</v>
      </c>
      <c r="E17">
        <v>0</v>
      </c>
      <c r="F17">
        <v>21</v>
      </c>
      <c r="G17">
        <v>7</v>
      </c>
      <c r="H17">
        <v>0</v>
      </c>
      <c r="I17">
        <v>0</v>
      </c>
      <c r="J17">
        <v>13</v>
      </c>
      <c r="K17" s="3">
        <v>41.905999999999999</v>
      </c>
      <c r="L17">
        <v>0</v>
      </c>
      <c r="M17" s="9">
        <v>124</v>
      </c>
      <c r="N17">
        <v>1</v>
      </c>
      <c r="O17" s="9">
        <v>8</v>
      </c>
      <c r="P17" s="3">
        <v>2.7</v>
      </c>
      <c r="Q17" s="3">
        <v>1.7</v>
      </c>
      <c r="R17" s="3">
        <v>52</v>
      </c>
      <c r="S17" s="3">
        <v>100</v>
      </c>
      <c r="T17" s="3" t="s">
        <v>52</v>
      </c>
      <c r="U17">
        <v>70</v>
      </c>
      <c r="V17" t="s">
        <v>65</v>
      </c>
      <c r="AB17" s="3">
        <v>52</v>
      </c>
    </row>
    <row r="18" spans="1:28" x14ac:dyDescent="0.3">
      <c r="A18" s="3" t="s">
        <v>15</v>
      </c>
      <c r="B18" s="3" t="s">
        <v>43</v>
      </c>
      <c r="C18" s="3" t="s">
        <v>67</v>
      </c>
      <c r="D18" s="3">
        <v>36.799999999999997</v>
      </c>
      <c r="E18">
        <v>1</v>
      </c>
      <c r="F18">
        <v>31</v>
      </c>
      <c r="G18">
        <v>15</v>
      </c>
      <c r="H18">
        <v>1</v>
      </c>
      <c r="I18">
        <v>1</v>
      </c>
      <c r="J18">
        <v>14</v>
      </c>
      <c r="K18" s="3">
        <v>1.7210000000000001</v>
      </c>
      <c r="L18">
        <v>0</v>
      </c>
      <c r="M18" s="9">
        <v>138</v>
      </c>
      <c r="N18">
        <v>1</v>
      </c>
      <c r="O18" s="9">
        <v>100</v>
      </c>
      <c r="P18" s="3">
        <v>3.3</v>
      </c>
      <c r="Q18" s="3">
        <v>12</v>
      </c>
      <c r="R18" s="3">
        <v>1.4</v>
      </c>
      <c r="S18" s="3">
        <v>17</v>
      </c>
      <c r="T18" s="3" t="s">
        <v>52</v>
      </c>
      <c r="U18" s="3">
        <v>34</v>
      </c>
      <c r="V18" t="s">
        <v>65</v>
      </c>
      <c r="AB18" s="3">
        <v>1.4</v>
      </c>
    </row>
    <row r="19" spans="1:28" x14ac:dyDescent="0.3">
      <c r="A19" s="3" t="s">
        <v>15</v>
      </c>
      <c r="B19" s="3" t="s">
        <v>44</v>
      </c>
      <c r="C19" s="3" t="s">
        <v>67</v>
      </c>
      <c r="D19" s="3">
        <v>103</v>
      </c>
      <c r="E19">
        <v>1</v>
      </c>
      <c r="F19">
        <v>31</v>
      </c>
      <c r="G19">
        <v>15</v>
      </c>
      <c r="H19">
        <v>1</v>
      </c>
      <c r="I19">
        <v>1</v>
      </c>
      <c r="J19">
        <v>14</v>
      </c>
      <c r="K19" s="4">
        <v>1.645</v>
      </c>
      <c r="L19">
        <v>0</v>
      </c>
      <c r="M19" s="9">
        <v>138</v>
      </c>
      <c r="N19">
        <v>1</v>
      </c>
      <c r="O19" s="9">
        <v>100</v>
      </c>
      <c r="P19" s="3">
        <v>4</v>
      </c>
      <c r="Q19" s="3">
        <v>11.8</v>
      </c>
      <c r="R19" s="3">
        <v>1.51</v>
      </c>
      <c r="S19" s="3">
        <v>3</v>
      </c>
      <c r="T19" s="3" t="s">
        <v>52</v>
      </c>
      <c r="U19" s="3">
        <v>35</v>
      </c>
      <c r="V19" t="s">
        <v>65</v>
      </c>
      <c r="AB19" s="3">
        <v>1.51</v>
      </c>
    </row>
    <row r="20" spans="1:28" x14ac:dyDescent="0.3">
      <c r="A20" s="3" t="s">
        <v>12</v>
      </c>
      <c r="B20" s="3" t="s">
        <v>16</v>
      </c>
      <c r="C20" s="3" t="s">
        <v>67</v>
      </c>
      <c r="D20" s="3">
        <v>157</v>
      </c>
      <c r="E20" s="3">
        <v>53</v>
      </c>
      <c r="F20" s="3">
        <v>511</v>
      </c>
      <c r="G20" s="3">
        <v>114</v>
      </c>
      <c r="H20" s="3">
        <v>1</v>
      </c>
      <c r="I20" s="3">
        <v>10</v>
      </c>
      <c r="J20" s="3">
        <v>162</v>
      </c>
      <c r="K20" s="3">
        <v>37503</v>
      </c>
      <c r="L20" s="3">
        <v>3</v>
      </c>
      <c r="M20" s="3">
        <v>124</v>
      </c>
      <c r="N20" s="3">
        <v>246781</v>
      </c>
      <c r="O20" s="3">
        <v>8</v>
      </c>
      <c r="P20" s="3">
        <v>5.0999999999999996</v>
      </c>
      <c r="Q20" s="3">
        <v>2.9</v>
      </c>
      <c r="R20" s="3">
        <v>54</v>
      </c>
      <c r="S20" s="3">
        <v>100</v>
      </c>
      <c r="T20" s="3" t="s">
        <v>23</v>
      </c>
      <c r="U20" s="3">
        <v>67</v>
      </c>
      <c r="V20" t="s">
        <v>68</v>
      </c>
      <c r="W20" s="3">
        <v>41.94</v>
      </c>
      <c r="X20" s="3"/>
      <c r="Y20" s="3"/>
      <c r="Z20" s="3"/>
      <c r="AB20" s="3">
        <v>54</v>
      </c>
    </row>
    <row r="21" spans="1:28" x14ac:dyDescent="0.3">
      <c r="A21" t="s">
        <v>10</v>
      </c>
      <c r="B21" t="s">
        <v>17</v>
      </c>
      <c r="C21" s="3" t="s">
        <v>67</v>
      </c>
      <c r="D21">
        <v>156</v>
      </c>
      <c r="E21">
        <v>44</v>
      </c>
      <c r="F21">
        <v>467</v>
      </c>
      <c r="G21">
        <v>106</v>
      </c>
      <c r="H21">
        <v>0</v>
      </c>
      <c r="I21">
        <v>9</v>
      </c>
      <c r="J21">
        <v>150</v>
      </c>
      <c r="K21">
        <v>35200</v>
      </c>
      <c r="L21">
        <v>3</v>
      </c>
      <c r="M21">
        <v>108</v>
      </c>
      <c r="N21">
        <v>407623</v>
      </c>
      <c r="O21" s="3">
        <v>8</v>
      </c>
      <c r="P21">
        <v>3.2</v>
      </c>
      <c r="Q21">
        <v>3.5</v>
      </c>
      <c r="R21">
        <v>30</v>
      </c>
      <c r="S21">
        <v>98</v>
      </c>
      <c r="T21" t="s">
        <v>23</v>
      </c>
      <c r="U21" s="11">
        <v>65</v>
      </c>
      <c r="V21" t="s">
        <v>68</v>
      </c>
      <c r="W21" s="3">
        <v>36.700000000000003</v>
      </c>
      <c r="AB21">
        <v>30</v>
      </c>
    </row>
    <row r="22" spans="1:28" x14ac:dyDescent="0.3">
      <c r="A22" s="3" t="s">
        <v>12</v>
      </c>
      <c r="B22" s="3" t="s">
        <v>16</v>
      </c>
      <c r="C22" s="3" t="s">
        <v>67</v>
      </c>
      <c r="D22" s="3">
        <v>157</v>
      </c>
      <c r="E22" s="3">
        <v>53</v>
      </c>
      <c r="F22" s="3">
        <v>511</v>
      </c>
      <c r="G22" s="3">
        <v>114</v>
      </c>
      <c r="H22" s="3">
        <v>1</v>
      </c>
      <c r="I22" s="3">
        <v>10</v>
      </c>
      <c r="J22" s="3">
        <v>162</v>
      </c>
      <c r="K22" s="3">
        <v>78038</v>
      </c>
      <c r="L22" s="3">
        <v>3</v>
      </c>
      <c r="M22" s="3">
        <v>124</v>
      </c>
      <c r="N22" s="3">
        <v>246781</v>
      </c>
      <c r="O22" s="3">
        <v>8</v>
      </c>
      <c r="P22" s="3">
        <v>4.5999999999999996</v>
      </c>
      <c r="Q22" s="3">
        <v>2.9</v>
      </c>
      <c r="R22" s="3">
        <v>54</v>
      </c>
      <c r="S22" s="3">
        <v>100</v>
      </c>
      <c r="T22" s="3" t="s">
        <v>23</v>
      </c>
      <c r="U22" s="3">
        <v>67</v>
      </c>
      <c r="V22" s="3" t="s">
        <v>21</v>
      </c>
      <c r="W22" s="3">
        <v>20.149999999999999</v>
      </c>
      <c r="X22" s="3"/>
      <c r="Y22" s="3"/>
      <c r="Z22" s="3"/>
      <c r="AB22" s="3">
        <v>54</v>
      </c>
    </row>
    <row r="23" spans="1:28" x14ac:dyDescent="0.3">
      <c r="A23" t="s">
        <v>10</v>
      </c>
      <c r="B23" t="s">
        <v>17</v>
      </c>
      <c r="C23" s="3" t="s">
        <v>67</v>
      </c>
      <c r="D23">
        <v>156</v>
      </c>
      <c r="E23">
        <v>44</v>
      </c>
      <c r="F23">
        <v>467</v>
      </c>
      <c r="G23">
        <v>106</v>
      </c>
      <c r="H23">
        <v>0</v>
      </c>
      <c r="I23">
        <v>9</v>
      </c>
      <c r="J23">
        <v>150</v>
      </c>
      <c r="K23">
        <v>76500</v>
      </c>
      <c r="L23">
        <v>3</v>
      </c>
      <c r="M23">
        <v>108</v>
      </c>
      <c r="N23">
        <v>407623</v>
      </c>
      <c r="O23" s="3">
        <v>8</v>
      </c>
      <c r="P23">
        <v>4</v>
      </c>
      <c r="Q23">
        <v>3</v>
      </c>
      <c r="R23">
        <v>33</v>
      </c>
      <c r="S23">
        <v>98</v>
      </c>
      <c r="T23" t="s">
        <v>23</v>
      </c>
      <c r="U23" s="11">
        <v>65</v>
      </c>
      <c r="V23" t="s">
        <v>21</v>
      </c>
      <c r="W23" s="3">
        <v>17.989999999999998</v>
      </c>
      <c r="AB23">
        <v>33</v>
      </c>
    </row>
    <row r="24" spans="1:28" x14ac:dyDescent="0.3">
      <c r="A24" t="s">
        <v>10</v>
      </c>
      <c r="B24" t="s">
        <v>16</v>
      </c>
      <c r="C24" s="3" t="s">
        <v>67</v>
      </c>
      <c r="D24">
        <v>157</v>
      </c>
      <c r="E24">
        <v>44</v>
      </c>
      <c r="F24">
        <v>467</v>
      </c>
      <c r="G24">
        <v>106</v>
      </c>
      <c r="H24">
        <v>0</v>
      </c>
      <c r="I24">
        <v>9</v>
      </c>
      <c r="J24">
        <v>150</v>
      </c>
      <c r="K24">
        <v>78551</v>
      </c>
      <c r="L24">
        <v>3</v>
      </c>
      <c r="M24">
        <v>108</v>
      </c>
      <c r="N24">
        <v>409259</v>
      </c>
      <c r="O24" s="3">
        <v>8</v>
      </c>
      <c r="P24">
        <v>3.8</v>
      </c>
      <c r="Q24">
        <v>2.9</v>
      </c>
      <c r="R24">
        <v>36</v>
      </c>
      <c r="S24">
        <v>91</v>
      </c>
      <c r="T24" t="s">
        <v>23</v>
      </c>
      <c r="U24" s="11">
        <v>79</v>
      </c>
      <c r="V24" t="s">
        <v>21</v>
      </c>
      <c r="W24" s="3"/>
      <c r="AB24">
        <v>36</v>
      </c>
    </row>
    <row r="25" spans="1:28" x14ac:dyDescent="0.3">
      <c r="A25" s="3" t="s">
        <v>12</v>
      </c>
      <c r="B25" s="3" t="s">
        <v>17</v>
      </c>
      <c r="C25" s="3" t="s">
        <v>67</v>
      </c>
      <c r="D25" s="3">
        <v>156</v>
      </c>
      <c r="E25" s="3">
        <v>53</v>
      </c>
      <c r="F25" s="3">
        <v>511</v>
      </c>
      <c r="G25" s="3">
        <v>114</v>
      </c>
      <c r="H25" s="3">
        <v>1</v>
      </c>
      <c r="I25" s="3">
        <v>10</v>
      </c>
      <c r="J25" s="3">
        <v>162</v>
      </c>
      <c r="K25" s="3">
        <v>71911</v>
      </c>
      <c r="L25" s="3">
        <v>3</v>
      </c>
      <c r="M25" s="3">
        <v>124</v>
      </c>
      <c r="N25" s="3"/>
      <c r="O25" s="3">
        <v>8</v>
      </c>
      <c r="P25" s="3">
        <v>4.7</v>
      </c>
      <c r="Q25" s="3">
        <v>2.8</v>
      </c>
      <c r="R25" s="3">
        <v>53</v>
      </c>
      <c r="S25" s="3">
        <v>100</v>
      </c>
      <c r="T25" s="3" t="s">
        <v>23</v>
      </c>
      <c r="U25" s="3">
        <v>49</v>
      </c>
      <c r="V25" s="3" t="s">
        <v>21</v>
      </c>
      <c r="W25" s="3"/>
      <c r="X25" s="3"/>
      <c r="Y25" s="3"/>
      <c r="Z25" s="3"/>
      <c r="AB25" s="3">
        <v>53</v>
      </c>
    </row>
    <row r="26" spans="1:28" x14ac:dyDescent="0.3">
      <c r="A26" s="3" t="s">
        <v>15</v>
      </c>
      <c r="B26" s="3" t="s">
        <v>56</v>
      </c>
      <c r="C26" s="3" t="s">
        <v>67</v>
      </c>
      <c r="D26" s="3">
        <v>36.799999999999997</v>
      </c>
      <c r="E26" s="3">
        <v>2</v>
      </c>
      <c r="F26" s="3">
        <v>12</v>
      </c>
      <c r="G26" s="3">
        <v>5</v>
      </c>
      <c r="H26" s="3">
        <v>0</v>
      </c>
      <c r="I26" s="3">
        <v>0</v>
      </c>
      <c r="J26" s="3">
        <v>5</v>
      </c>
      <c r="K26" s="3">
        <v>4440</v>
      </c>
      <c r="L26" s="3">
        <v>1</v>
      </c>
      <c r="M26" s="3">
        <v>60</v>
      </c>
      <c r="N26" s="3">
        <v>8980</v>
      </c>
      <c r="O26" s="3">
        <v>16</v>
      </c>
      <c r="P26" s="3">
        <v>2.6</v>
      </c>
      <c r="Q26" s="3">
        <v>4.4000000000000004</v>
      </c>
      <c r="R26" s="3">
        <v>99</v>
      </c>
      <c r="S26" s="3">
        <v>7</v>
      </c>
      <c r="T26" s="3" t="s">
        <v>23</v>
      </c>
      <c r="U26" s="11">
        <v>70</v>
      </c>
      <c r="V26" s="3" t="s">
        <v>21</v>
      </c>
      <c r="W26" s="3"/>
      <c r="X26" s="3"/>
      <c r="Y26" s="3"/>
      <c r="Z26" s="3"/>
      <c r="AB26" s="3">
        <v>99</v>
      </c>
    </row>
    <row r="27" spans="1:28" x14ac:dyDescent="0.3">
      <c r="A27" s="3" t="s">
        <v>10</v>
      </c>
      <c r="B27" s="3" t="s">
        <v>19</v>
      </c>
      <c r="C27" s="3" t="s">
        <v>67</v>
      </c>
      <c r="D27" s="3">
        <v>6.07</v>
      </c>
      <c r="E27">
        <v>44</v>
      </c>
      <c r="F27">
        <v>467</v>
      </c>
      <c r="G27">
        <v>106</v>
      </c>
      <c r="H27">
        <v>0</v>
      </c>
      <c r="I27">
        <v>9</v>
      </c>
      <c r="J27">
        <v>150</v>
      </c>
      <c r="K27" s="3">
        <v>1349</v>
      </c>
      <c r="L27" s="3">
        <v>3</v>
      </c>
      <c r="M27" s="3">
        <v>108</v>
      </c>
      <c r="N27" s="3">
        <v>404917</v>
      </c>
      <c r="O27" s="3">
        <v>8</v>
      </c>
      <c r="P27" s="3">
        <v>2.4</v>
      </c>
      <c r="Q27" s="3">
        <v>1.8</v>
      </c>
      <c r="R27" s="3">
        <v>32</v>
      </c>
      <c r="S27" s="3">
        <v>100</v>
      </c>
      <c r="T27" s="3" t="s">
        <v>23</v>
      </c>
      <c r="U27" s="11">
        <v>49</v>
      </c>
      <c r="V27" s="3" t="s">
        <v>21</v>
      </c>
      <c r="W27" s="3"/>
      <c r="X27" s="3"/>
      <c r="Y27" s="3"/>
      <c r="Z27" s="3"/>
      <c r="AB27" s="3">
        <v>32</v>
      </c>
    </row>
    <row r="28" spans="1:28" x14ac:dyDescent="0.3">
      <c r="A28" t="s">
        <v>10</v>
      </c>
      <c r="B28" t="s">
        <v>18</v>
      </c>
      <c r="C28" s="3" t="s">
        <v>67</v>
      </c>
      <c r="D28">
        <v>6.36</v>
      </c>
      <c r="E28">
        <v>44</v>
      </c>
      <c r="F28">
        <v>467</v>
      </c>
      <c r="G28">
        <v>106</v>
      </c>
      <c r="H28">
        <v>0</v>
      </c>
      <c r="I28">
        <v>9</v>
      </c>
      <c r="J28">
        <v>150</v>
      </c>
      <c r="K28">
        <v>1311</v>
      </c>
      <c r="L28">
        <v>3</v>
      </c>
      <c r="M28">
        <v>108</v>
      </c>
      <c r="N28">
        <v>435327</v>
      </c>
      <c r="O28" s="3">
        <v>8</v>
      </c>
      <c r="P28">
        <v>2.6</v>
      </c>
      <c r="Q28">
        <v>1.4</v>
      </c>
      <c r="R28">
        <v>30</v>
      </c>
      <c r="S28">
        <v>100</v>
      </c>
      <c r="T28" t="s">
        <v>23</v>
      </c>
      <c r="U28" s="11">
        <v>55</v>
      </c>
      <c r="V28" t="s">
        <v>21</v>
      </c>
      <c r="AB28">
        <v>30</v>
      </c>
    </row>
    <row r="29" spans="1:28" x14ac:dyDescent="0.3">
      <c r="A29" s="3" t="s">
        <v>12</v>
      </c>
      <c r="B29" s="3" t="s">
        <v>19</v>
      </c>
      <c r="C29" s="3" t="s">
        <v>67</v>
      </c>
      <c r="D29" s="3">
        <v>6.07</v>
      </c>
      <c r="E29" s="3">
        <v>53</v>
      </c>
      <c r="F29" s="3">
        <v>511</v>
      </c>
      <c r="G29" s="3">
        <v>114</v>
      </c>
      <c r="H29" s="3">
        <v>1</v>
      </c>
      <c r="I29" s="3">
        <v>10</v>
      </c>
      <c r="J29" s="3">
        <v>162</v>
      </c>
      <c r="K29" s="3">
        <v>1257</v>
      </c>
      <c r="L29" s="3">
        <v>3</v>
      </c>
      <c r="M29" s="3">
        <v>124</v>
      </c>
      <c r="N29" s="3">
        <v>139095</v>
      </c>
      <c r="O29" s="3">
        <v>8</v>
      </c>
      <c r="P29" s="3">
        <v>4.0999999999999996</v>
      </c>
      <c r="Q29" s="3">
        <v>5.2</v>
      </c>
      <c r="R29" s="3">
        <v>54</v>
      </c>
      <c r="S29" s="3">
        <v>98</v>
      </c>
      <c r="T29" s="3" t="s">
        <v>23</v>
      </c>
      <c r="U29" s="3">
        <v>55</v>
      </c>
      <c r="V29" s="3" t="s">
        <v>21</v>
      </c>
      <c r="W29" s="3"/>
      <c r="X29" s="3"/>
      <c r="Y29" s="3"/>
      <c r="Z29" s="3"/>
      <c r="AB29" s="3">
        <v>54</v>
      </c>
    </row>
    <row r="30" spans="1:28" x14ac:dyDescent="0.3">
      <c r="A30" s="3" t="s">
        <v>12</v>
      </c>
      <c r="B30" s="3" t="s">
        <v>18</v>
      </c>
      <c r="C30" s="3" t="s">
        <v>67</v>
      </c>
      <c r="D30" s="3">
        <v>6.36</v>
      </c>
      <c r="E30" s="3">
        <v>53</v>
      </c>
      <c r="F30" s="3">
        <v>511</v>
      </c>
      <c r="G30" s="3">
        <v>114</v>
      </c>
      <c r="H30" s="3">
        <v>1</v>
      </c>
      <c r="I30" s="3">
        <v>10</v>
      </c>
      <c r="J30" s="3">
        <v>162</v>
      </c>
      <c r="K30" s="3">
        <v>1234</v>
      </c>
      <c r="L30" s="3">
        <v>3</v>
      </c>
      <c r="M30" s="3">
        <v>124</v>
      </c>
      <c r="N30" s="3">
        <v>137380</v>
      </c>
      <c r="O30" s="3">
        <v>8</v>
      </c>
      <c r="P30" s="3">
        <v>4.0999999999999996</v>
      </c>
      <c r="Q30" s="3">
        <v>3.8</v>
      </c>
      <c r="R30" s="3">
        <v>60</v>
      </c>
      <c r="S30" s="3">
        <v>97</v>
      </c>
      <c r="T30" s="3" t="s">
        <v>23</v>
      </c>
      <c r="U30" s="3">
        <v>45</v>
      </c>
      <c r="V30" s="3" t="s">
        <v>21</v>
      </c>
      <c r="W30" s="3"/>
      <c r="X30" s="3"/>
      <c r="Y30" s="3"/>
      <c r="Z30" s="3"/>
      <c r="AB30" s="3">
        <v>60</v>
      </c>
    </row>
    <row r="31" spans="1:28" x14ac:dyDescent="0.3">
      <c r="A31" s="3" t="s">
        <v>15</v>
      </c>
      <c r="B31" s="3" t="s">
        <v>55</v>
      </c>
      <c r="C31" s="3" t="s">
        <v>67</v>
      </c>
      <c r="D31" s="3">
        <v>103</v>
      </c>
      <c r="E31" s="3">
        <v>2</v>
      </c>
      <c r="F31" s="3">
        <v>12</v>
      </c>
      <c r="G31" s="3">
        <v>5</v>
      </c>
      <c r="H31" s="3">
        <v>0</v>
      </c>
      <c r="I31" s="3">
        <v>0</v>
      </c>
      <c r="J31" s="3">
        <v>5</v>
      </c>
      <c r="K31" s="3">
        <v>440</v>
      </c>
      <c r="L31" s="3">
        <v>1</v>
      </c>
      <c r="M31" s="3">
        <v>60</v>
      </c>
      <c r="N31" s="4">
        <v>957786</v>
      </c>
      <c r="O31" s="3">
        <v>16</v>
      </c>
      <c r="P31" s="3">
        <v>2.7</v>
      </c>
      <c r="Q31" s="3">
        <v>4.3</v>
      </c>
      <c r="R31" s="3">
        <v>98</v>
      </c>
      <c r="S31" s="3">
        <v>11</v>
      </c>
      <c r="T31" s="3" t="s">
        <v>23</v>
      </c>
      <c r="U31" s="11">
        <v>69</v>
      </c>
      <c r="V31" s="3" t="s">
        <v>21</v>
      </c>
      <c r="W31" s="3"/>
      <c r="X31" s="3"/>
      <c r="Y31" s="3"/>
      <c r="Z31" s="3"/>
      <c r="AB31" s="3">
        <v>98</v>
      </c>
    </row>
    <row r="32" spans="1:28" x14ac:dyDescent="0.3">
      <c r="A32" t="s">
        <v>10</v>
      </c>
      <c r="B32" t="s">
        <v>16</v>
      </c>
      <c r="C32" s="3" t="s">
        <v>67</v>
      </c>
      <c r="D32">
        <v>157</v>
      </c>
      <c r="E32">
        <v>0</v>
      </c>
      <c r="F32">
        <v>19</v>
      </c>
      <c r="G32">
        <v>10</v>
      </c>
      <c r="H32">
        <v>0</v>
      </c>
      <c r="I32">
        <v>0</v>
      </c>
      <c r="J32">
        <v>9</v>
      </c>
      <c r="K32">
        <v>65</v>
      </c>
      <c r="L32">
        <v>0</v>
      </c>
      <c r="M32" s="9">
        <v>108</v>
      </c>
      <c r="N32">
        <v>1</v>
      </c>
      <c r="O32" s="9">
        <v>8</v>
      </c>
      <c r="P32">
        <v>2.6</v>
      </c>
      <c r="Q32">
        <v>1.6</v>
      </c>
      <c r="R32">
        <v>26</v>
      </c>
      <c r="S32">
        <v>100</v>
      </c>
      <c r="T32" t="s">
        <v>52</v>
      </c>
      <c r="U32" s="3">
        <v>45</v>
      </c>
      <c r="V32" t="s">
        <v>21</v>
      </c>
      <c r="AB32">
        <v>26</v>
      </c>
    </row>
    <row r="33" spans="1:28" x14ac:dyDescent="0.3">
      <c r="A33" s="3" t="s">
        <v>12</v>
      </c>
      <c r="B33" s="3" t="s">
        <v>19</v>
      </c>
      <c r="C33" s="3" t="s">
        <v>67</v>
      </c>
      <c r="D33" s="3">
        <v>6.07</v>
      </c>
      <c r="E33">
        <v>0</v>
      </c>
      <c r="F33">
        <v>21</v>
      </c>
      <c r="G33">
        <v>7</v>
      </c>
      <c r="H33">
        <v>0</v>
      </c>
      <c r="I33">
        <v>0</v>
      </c>
      <c r="J33">
        <v>13</v>
      </c>
      <c r="K33" s="3">
        <v>60.508000000000003</v>
      </c>
      <c r="L33">
        <v>0</v>
      </c>
      <c r="M33" s="9">
        <v>124</v>
      </c>
      <c r="N33">
        <v>1</v>
      </c>
      <c r="O33" s="9">
        <v>8</v>
      </c>
      <c r="P33" s="3">
        <v>2.7</v>
      </c>
      <c r="Q33" s="3">
        <v>1.8</v>
      </c>
      <c r="R33" s="3">
        <v>57</v>
      </c>
      <c r="S33" s="3">
        <v>100</v>
      </c>
      <c r="T33" s="3" t="s">
        <v>52</v>
      </c>
      <c r="U33">
        <v>70</v>
      </c>
      <c r="V33" s="3" t="s">
        <v>21</v>
      </c>
      <c r="AB33" s="3">
        <v>57</v>
      </c>
    </row>
    <row r="34" spans="1:28" x14ac:dyDescent="0.3">
      <c r="A34" t="s">
        <v>12</v>
      </c>
      <c r="B34" t="s">
        <v>17</v>
      </c>
      <c r="C34" s="3" t="s">
        <v>67</v>
      </c>
      <c r="D34">
        <v>156</v>
      </c>
      <c r="E34">
        <v>0</v>
      </c>
      <c r="F34">
        <v>21</v>
      </c>
      <c r="G34">
        <v>7</v>
      </c>
      <c r="H34">
        <v>0</v>
      </c>
      <c r="I34">
        <v>0</v>
      </c>
      <c r="J34">
        <v>13</v>
      </c>
      <c r="K34" s="3">
        <v>51.429000000000002</v>
      </c>
      <c r="L34">
        <v>0</v>
      </c>
      <c r="M34" s="9">
        <v>124</v>
      </c>
      <c r="N34">
        <v>1</v>
      </c>
      <c r="O34" s="9">
        <v>8</v>
      </c>
      <c r="P34">
        <v>2.7</v>
      </c>
      <c r="Q34">
        <v>1.7</v>
      </c>
      <c r="R34">
        <v>56</v>
      </c>
      <c r="S34">
        <v>100</v>
      </c>
      <c r="T34" t="s">
        <v>52</v>
      </c>
      <c r="U34">
        <v>70</v>
      </c>
      <c r="V34" t="s">
        <v>21</v>
      </c>
      <c r="AB34">
        <v>56</v>
      </c>
    </row>
    <row r="35" spans="1:28" x14ac:dyDescent="0.3">
      <c r="A35" s="3" t="s">
        <v>12</v>
      </c>
      <c r="B35" s="3" t="s">
        <v>16</v>
      </c>
      <c r="C35" s="3" t="s">
        <v>67</v>
      </c>
      <c r="D35" s="3">
        <v>157</v>
      </c>
      <c r="E35">
        <v>0</v>
      </c>
      <c r="F35">
        <v>21</v>
      </c>
      <c r="G35">
        <v>7</v>
      </c>
      <c r="H35">
        <v>0</v>
      </c>
      <c r="I35">
        <v>0</v>
      </c>
      <c r="J35">
        <v>13</v>
      </c>
      <c r="K35" s="3">
        <v>50.737000000000002</v>
      </c>
      <c r="L35">
        <v>0</v>
      </c>
      <c r="M35" s="9">
        <v>124</v>
      </c>
      <c r="N35">
        <v>1</v>
      </c>
      <c r="O35" s="9">
        <v>8</v>
      </c>
      <c r="P35">
        <v>2.7</v>
      </c>
      <c r="Q35">
        <v>1.7</v>
      </c>
      <c r="R35">
        <v>57</v>
      </c>
      <c r="S35">
        <v>100</v>
      </c>
      <c r="T35" s="3" t="s">
        <v>52</v>
      </c>
      <c r="U35">
        <v>29</v>
      </c>
      <c r="V35" s="3" t="s">
        <v>21</v>
      </c>
      <c r="AB35">
        <v>57</v>
      </c>
    </row>
    <row r="36" spans="1:28" x14ac:dyDescent="0.3">
      <c r="A36" t="s">
        <v>10</v>
      </c>
      <c r="B36" t="s">
        <v>17</v>
      </c>
      <c r="C36" s="3" t="s">
        <v>67</v>
      </c>
      <c r="D36">
        <v>156</v>
      </c>
      <c r="E36">
        <v>0</v>
      </c>
      <c r="F36">
        <v>19</v>
      </c>
      <c r="G36">
        <v>10</v>
      </c>
      <c r="H36">
        <v>0</v>
      </c>
      <c r="I36">
        <v>0</v>
      </c>
      <c r="J36">
        <v>9</v>
      </c>
      <c r="K36">
        <v>50.48</v>
      </c>
      <c r="L36">
        <v>0</v>
      </c>
      <c r="M36" s="9">
        <v>108</v>
      </c>
      <c r="N36">
        <v>1</v>
      </c>
      <c r="O36" s="9">
        <v>8</v>
      </c>
      <c r="P36">
        <v>2.7</v>
      </c>
      <c r="Q36">
        <v>23.9</v>
      </c>
      <c r="R36">
        <v>26</v>
      </c>
      <c r="S36">
        <v>100</v>
      </c>
      <c r="T36" t="s">
        <v>52</v>
      </c>
      <c r="U36">
        <v>28</v>
      </c>
      <c r="V36" t="s">
        <v>21</v>
      </c>
      <c r="AB36">
        <v>26</v>
      </c>
    </row>
    <row r="37" spans="1:28" x14ac:dyDescent="0.3">
      <c r="A37" t="s">
        <v>10</v>
      </c>
      <c r="B37" t="s">
        <v>18</v>
      </c>
      <c r="C37" s="3" t="s">
        <v>67</v>
      </c>
      <c r="D37">
        <v>6.36</v>
      </c>
      <c r="E37">
        <v>0</v>
      </c>
      <c r="F37">
        <v>19</v>
      </c>
      <c r="G37">
        <v>10</v>
      </c>
      <c r="H37">
        <v>0</v>
      </c>
      <c r="I37">
        <v>0</v>
      </c>
      <c r="J37">
        <v>9</v>
      </c>
      <c r="K37">
        <v>44</v>
      </c>
      <c r="L37">
        <v>0</v>
      </c>
      <c r="M37" s="9">
        <v>108</v>
      </c>
      <c r="N37">
        <v>1</v>
      </c>
      <c r="O37" s="9">
        <v>8</v>
      </c>
      <c r="P37">
        <v>2.7</v>
      </c>
      <c r="Q37">
        <v>1.7</v>
      </c>
      <c r="R37">
        <v>27</v>
      </c>
      <c r="S37">
        <v>100</v>
      </c>
      <c r="T37" t="s">
        <v>52</v>
      </c>
      <c r="U37">
        <v>29</v>
      </c>
      <c r="V37" t="s">
        <v>21</v>
      </c>
      <c r="AB37">
        <v>27</v>
      </c>
    </row>
    <row r="38" spans="1:28" x14ac:dyDescent="0.3">
      <c r="A38" s="3" t="s">
        <v>10</v>
      </c>
      <c r="B38" s="3" t="s">
        <v>19</v>
      </c>
      <c r="C38" s="3" t="s">
        <v>67</v>
      </c>
      <c r="D38" s="3">
        <v>6.07</v>
      </c>
      <c r="E38">
        <v>0</v>
      </c>
      <c r="F38">
        <v>19</v>
      </c>
      <c r="G38">
        <v>10</v>
      </c>
      <c r="H38">
        <v>0</v>
      </c>
      <c r="I38">
        <v>0</v>
      </c>
      <c r="J38">
        <v>9</v>
      </c>
      <c r="K38" s="3">
        <v>44</v>
      </c>
      <c r="L38">
        <v>0</v>
      </c>
      <c r="M38" s="9">
        <v>108</v>
      </c>
      <c r="N38">
        <v>1</v>
      </c>
      <c r="O38" s="9">
        <v>8</v>
      </c>
      <c r="P38" s="3">
        <v>2.8</v>
      </c>
      <c r="Q38" s="3">
        <v>1.8</v>
      </c>
      <c r="R38" s="3">
        <v>26</v>
      </c>
      <c r="S38" s="3">
        <v>100</v>
      </c>
      <c r="T38" t="s">
        <v>52</v>
      </c>
      <c r="U38">
        <v>31</v>
      </c>
      <c r="V38" s="3" t="s">
        <v>21</v>
      </c>
      <c r="AB38" s="3">
        <v>26</v>
      </c>
    </row>
    <row r="39" spans="1:28" x14ac:dyDescent="0.3">
      <c r="A39" s="3" t="s">
        <v>12</v>
      </c>
      <c r="B39" s="3" t="s">
        <v>18</v>
      </c>
      <c r="C39" s="3" t="s">
        <v>67</v>
      </c>
      <c r="D39" s="3">
        <v>6.36</v>
      </c>
      <c r="E39">
        <v>0</v>
      </c>
      <c r="F39">
        <v>21</v>
      </c>
      <c r="G39">
        <v>7</v>
      </c>
      <c r="H39">
        <v>0</v>
      </c>
      <c r="I39">
        <v>0</v>
      </c>
      <c r="J39">
        <v>13</v>
      </c>
      <c r="K39" s="3">
        <v>41.905999999999999</v>
      </c>
      <c r="L39">
        <v>0</v>
      </c>
      <c r="M39" s="9">
        <v>124</v>
      </c>
      <c r="N39">
        <v>1</v>
      </c>
      <c r="O39" s="9">
        <v>8</v>
      </c>
      <c r="P39" s="3">
        <v>2.7</v>
      </c>
      <c r="Q39" s="3">
        <v>1.7</v>
      </c>
      <c r="R39" s="3">
        <v>56</v>
      </c>
      <c r="S39" s="3">
        <v>100</v>
      </c>
      <c r="T39" s="3" t="s">
        <v>52</v>
      </c>
      <c r="U39">
        <v>70</v>
      </c>
      <c r="V39" s="3" t="s">
        <v>21</v>
      </c>
      <c r="AB39" s="3">
        <v>56</v>
      </c>
    </row>
    <row r="40" spans="1:28" x14ac:dyDescent="0.3">
      <c r="A40" s="3" t="s">
        <v>15</v>
      </c>
      <c r="B40" s="3" t="s">
        <v>43</v>
      </c>
      <c r="C40" s="3" t="s">
        <v>67</v>
      </c>
      <c r="D40" s="3">
        <v>36.799999999999997</v>
      </c>
      <c r="E40">
        <v>1</v>
      </c>
      <c r="F40">
        <v>31</v>
      </c>
      <c r="G40">
        <v>15</v>
      </c>
      <c r="H40">
        <v>1</v>
      </c>
      <c r="I40">
        <v>1</v>
      </c>
      <c r="J40">
        <v>14</v>
      </c>
      <c r="K40" s="3">
        <v>1.7210000000000001</v>
      </c>
      <c r="L40">
        <v>0</v>
      </c>
      <c r="M40" s="9">
        <v>138</v>
      </c>
      <c r="N40">
        <v>1</v>
      </c>
      <c r="O40" s="9">
        <v>100</v>
      </c>
      <c r="P40" s="3">
        <v>2.7</v>
      </c>
      <c r="Q40" s="3">
        <v>12</v>
      </c>
      <c r="R40" s="3">
        <v>1</v>
      </c>
      <c r="S40" s="3">
        <v>17</v>
      </c>
      <c r="T40" s="3" t="s">
        <v>52</v>
      </c>
      <c r="U40" s="3">
        <v>34</v>
      </c>
      <c r="V40" s="3" t="s">
        <v>21</v>
      </c>
      <c r="AB40" s="3">
        <v>1</v>
      </c>
    </row>
    <row r="41" spans="1:28" x14ac:dyDescent="0.3">
      <c r="A41" s="3" t="s">
        <v>15</v>
      </c>
      <c r="B41" s="3" t="s">
        <v>44</v>
      </c>
      <c r="C41" s="3" t="s">
        <v>67</v>
      </c>
      <c r="D41" s="3">
        <v>103</v>
      </c>
      <c r="E41">
        <v>1</v>
      </c>
      <c r="F41">
        <v>31</v>
      </c>
      <c r="G41">
        <v>15</v>
      </c>
      <c r="H41">
        <v>1</v>
      </c>
      <c r="I41">
        <v>1</v>
      </c>
      <c r="J41">
        <v>14</v>
      </c>
      <c r="K41" s="4">
        <v>1.645</v>
      </c>
      <c r="L41">
        <v>0</v>
      </c>
      <c r="M41" s="9">
        <v>138</v>
      </c>
      <c r="N41">
        <v>1</v>
      </c>
      <c r="O41" s="9">
        <v>100</v>
      </c>
      <c r="P41" s="3">
        <v>2</v>
      </c>
      <c r="Q41" s="3">
        <v>11.8</v>
      </c>
      <c r="R41" s="3">
        <v>1</v>
      </c>
      <c r="S41" s="3">
        <v>3</v>
      </c>
      <c r="T41" s="3" t="s">
        <v>52</v>
      </c>
      <c r="U41" s="3">
        <v>35</v>
      </c>
      <c r="V41" s="3" t="s">
        <v>21</v>
      </c>
      <c r="AB41" s="3">
        <v>1</v>
      </c>
    </row>
    <row r="42" spans="1:28" x14ac:dyDescent="0.3">
      <c r="A42" s="3" t="s">
        <v>12</v>
      </c>
      <c r="B42" s="3" t="s">
        <v>16</v>
      </c>
      <c r="C42" s="3" t="s">
        <v>67</v>
      </c>
      <c r="D42" s="3">
        <v>157</v>
      </c>
      <c r="E42" s="3">
        <v>53</v>
      </c>
      <c r="F42" s="3">
        <v>511</v>
      </c>
      <c r="G42" s="3">
        <v>114</v>
      </c>
      <c r="H42" s="3">
        <v>1</v>
      </c>
      <c r="I42" s="3">
        <v>10</v>
      </c>
      <c r="J42" s="3">
        <v>162</v>
      </c>
      <c r="K42" s="3">
        <v>97547</v>
      </c>
      <c r="L42" s="3">
        <v>3</v>
      </c>
      <c r="M42" s="3">
        <v>124</v>
      </c>
      <c r="N42" s="3">
        <v>246781</v>
      </c>
      <c r="O42" s="3">
        <v>8</v>
      </c>
      <c r="P42" s="3">
        <v>5.0999999999999996</v>
      </c>
      <c r="Q42" s="3">
        <v>3.5</v>
      </c>
      <c r="R42" s="3">
        <v>70</v>
      </c>
      <c r="S42" s="3">
        <v>100</v>
      </c>
      <c r="T42" s="3" t="s">
        <v>23</v>
      </c>
      <c r="U42" s="3">
        <v>67</v>
      </c>
      <c r="V42" s="3" t="s">
        <v>63</v>
      </c>
      <c r="W42" s="3">
        <v>16.12</v>
      </c>
      <c r="X42" s="3"/>
      <c r="Y42" s="3"/>
      <c r="Z42" s="3"/>
      <c r="AB42" s="3">
        <v>70</v>
      </c>
    </row>
    <row r="43" spans="1:28" x14ac:dyDescent="0.3">
      <c r="A43" t="s">
        <v>10</v>
      </c>
      <c r="B43" t="s">
        <v>17</v>
      </c>
      <c r="C43" s="3" t="s">
        <v>67</v>
      </c>
      <c r="D43">
        <v>156</v>
      </c>
      <c r="E43">
        <v>44</v>
      </c>
      <c r="F43">
        <v>467</v>
      </c>
      <c r="G43">
        <v>106</v>
      </c>
      <c r="H43">
        <v>0</v>
      </c>
      <c r="I43">
        <v>9</v>
      </c>
      <c r="J43">
        <v>150</v>
      </c>
      <c r="K43">
        <v>95125</v>
      </c>
      <c r="L43">
        <v>3</v>
      </c>
      <c r="M43">
        <v>108</v>
      </c>
      <c r="N43">
        <v>407623</v>
      </c>
      <c r="O43" s="3">
        <v>8</v>
      </c>
      <c r="P43">
        <v>4.5999999999999996</v>
      </c>
      <c r="Q43">
        <v>3.8</v>
      </c>
      <c r="R43">
        <v>51</v>
      </c>
      <c r="S43">
        <v>98</v>
      </c>
      <c r="T43" t="s">
        <v>23</v>
      </c>
      <c r="U43" s="11">
        <v>65</v>
      </c>
      <c r="V43" t="s">
        <v>63</v>
      </c>
      <c r="W43">
        <v>14.47</v>
      </c>
      <c r="AB43">
        <v>51</v>
      </c>
    </row>
    <row r="44" spans="1:28" x14ac:dyDescent="0.3">
      <c r="A44" t="s">
        <v>10</v>
      </c>
      <c r="B44" t="s">
        <v>16</v>
      </c>
      <c r="C44" s="3" t="s">
        <v>67</v>
      </c>
      <c r="D44">
        <v>157</v>
      </c>
      <c r="E44">
        <v>44</v>
      </c>
      <c r="F44">
        <v>467</v>
      </c>
      <c r="G44">
        <v>106</v>
      </c>
      <c r="H44">
        <v>0</v>
      </c>
      <c r="I44">
        <v>9</v>
      </c>
      <c r="J44">
        <v>150</v>
      </c>
      <c r="K44">
        <v>98188</v>
      </c>
      <c r="L44">
        <v>3</v>
      </c>
      <c r="M44">
        <v>108</v>
      </c>
      <c r="N44">
        <v>409259</v>
      </c>
      <c r="O44" s="3">
        <v>8</v>
      </c>
      <c r="P44">
        <v>4.2</v>
      </c>
      <c r="Q44">
        <v>3.4</v>
      </c>
      <c r="R44">
        <v>53</v>
      </c>
      <c r="S44">
        <v>91</v>
      </c>
      <c r="T44" t="s">
        <v>23</v>
      </c>
      <c r="U44" s="11">
        <v>79</v>
      </c>
      <c r="V44" t="s">
        <v>63</v>
      </c>
      <c r="AB44">
        <v>53</v>
      </c>
    </row>
    <row r="45" spans="1:28" x14ac:dyDescent="0.3">
      <c r="A45" s="3" t="s">
        <v>12</v>
      </c>
      <c r="B45" s="3" t="s">
        <v>17</v>
      </c>
      <c r="C45" s="3" t="s">
        <v>67</v>
      </c>
      <c r="D45" s="3">
        <v>156</v>
      </c>
      <c r="E45" s="3">
        <v>53</v>
      </c>
      <c r="F45" s="3">
        <v>511</v>
      </c>
      <c r="G45" s="3">
        <v>114</v>
      </c>
      <c r="H45" s="3">
        <v>1</v>
      </c>
      <c r="I45" s="3">
        <v>10</v>
      </c>
      <c r="J45" s="3">
        <v>162</v>
      </c>
      <c r="K45" s="3">
        <v>89888</v>
      </c>
      <c r="L45" s="3">
        <v>3</v>
      </c>
      <c r="M45" s="3">
        <v>124</v>
      </c>
      <c r="N45" s="3"/>
      <c r="O45" s="3">
        <v>8</v>
      </c>
      <c r="P45" s="3">
        <v>4.7</v>
      </c>
      <c r="Q45" s="3">
        <v>2.8</v>
      </c>
      <c r="R45" s="3">
        <v>76</v>
      </c>
      <c r="S45" s="3">
        <v>100</v>
      </c>
      <c r="T45" s="3" t="s">
        <v>23</v>
      </c>
      <c r="U45" s="3">
        <v>49</v>
      </c>
      <c r="V45" s="3" t="s">
        <v>63</v>
      </c>
      <c r="W45" s="3"/>
      <c r="X45" s="3"/>
      <c r="Y45" s="3"/>
      <c r="Z45" s="3"/>
      <c r="AB45" s="3">
        <v>76</v>
      </c>
    </row>
    <row r="46" spans="1:28" x14ac:dyDescent="0.3">
      <c r="A46" s="3" t="s">
        <v>15</v>
      </c>
      <c r="B46" s="3" t="s">
        <v>56</v>
      </c>
      <c r="C46" s="3" t="s">
        <v>67</v>
      </c>
      <c r="D46" s="3">
        <v>36.799999999999997</v>
      </c>
      <c r="E46" s="3">
        <v>2</v>
      </c>
      <c r="F46" s="3">
        <v>12</v>
      </c>
      <c r="G46" s="3">
        <v>5</v>
      </c>
      <c r="H46" s="3">
        <v>0</v>
      </c>
      <c r="I46" s="3">
        <v>0</v>
      </c>
      <c r="J46" s="3">
        <v>5</v>
      </c>
      <c r="K46" s="3">
        <v>5553</v>
      </c>
      <c r="L46" s="3">
        <v>1</v>
      </c>
      <c r="M46" s="3">
        <v>60</v>
      </c>
      <c r="N46" s="3">
        <v>8980</v>
      </c>
      <c r="O46" s="3">
        <v>16</v>
      </c>
      <c r="P46" s="3">
        <v>2.6</v>
      </c>
      <c r="Q46" s="3">
        <v>4.4000000000000004</v>
      </c>
      <c r="R46" s="3" t="s">
        <v>64</v>
      </c>
      <c r="S46" s="3">
        <v>7</v>
      </c>
      <c r="T46" s="3" t="s">
        <v>23</v>
      </c>
      <c r="U46" s="11">
        <v>70</v>
      </c>
      <c r="V46" t="s">
        <v>63</v>
      </c>
      <c r="AB46" s="3">
        <v>0</v>
      </c>
    </row>
    <row r="47" spans="1:28" x14ac:dyDescent="0.3">
      <c r="A47" s="3" t="s">
        <v>10</v>
      </c>
      <c r="B47" s="3" t="s">
        <v>19</v>
      </c>
      <c r="C47" s="3" t="s">
        <v>67</v>
      </c>
      <c r="D47" s="3">
        <v>6.07</v>
      </c>
      <c r="E47">
        <v>44</v>
      </c>
      <c r="F47">
        <v>467</v>
      </c>
      <c r="G47">
        <v>106</v>
      </c>
      <c r="H47">
        <v>0</v>
      </c>
      <c r="I47">
        <v>9</v>
      </c>
      <c r="J47">
        <v>150</v>
      </c>
      <c r="K47" s="3">
        <v>1686</v>
      </c>
      <c r="L47" s="3">
        <v>3</v>
      </c>
      <c r="M47" s="3">
        <v>108</v>
      </c>
      <c r="N47" s="3">
        <v>404917</v>
      </c>
      <c r="O47" s="3">
        <v>8</v>
      </c>
      <c r="P47" s="3">
        <v>3.5</v>
      </c>
      <c r="Q47" s="3">
        <v>2.6</v>
      </c>
      <c r="R47" s="3">
        <v>50</v>
      </c>
      <c r="S47" s="3">
        <v>100</v>
      </c>
      <c r="T47" s="3" t="s">
        <v>23</v>
      </c>
      <c r="U47" s="11">
        <v>49</v>
      </c>
      <c r="V47" t="s">
        <v>63</v>
      </c>
      <c r="AB47" s="3">
        <v>50</v>
      </c>
    </row>
    <row r="48" spans="1:28" x14ac:dyDescent="0.3">
      <c r="A48" t="s">
        <v>10</v>
      </c>
      <c r="B48" t="s">
        <v>18</v>
      </c>
      <c r="C48" s="3" t="s">
        <v>67</v>
      </c>
      <c r="D48">
        <v>6.36</v>
      </c>
      <c r="E48">
        <v>44</v>
      </c>
      <c r="F48">
        <v>467</v>
      </c>
      <c r="G48">
        <v>106</v>
      </c>
      <c r="H48">
        <v>0</v>
      </c>
      <c r="I48">
        <v>9</v>
      </c>
      <c r="J48">
        <v>150</v>
      </c>
      <c r="K48">
        <v>1638</v>
      </c>
      <c r="L48">
        <v>3</v>
      </c>
      <c r="M48">
        <v>108</v>
      </c>
      <c r="N48">
        <v>435327</v>
      </c>
      <c r="O48" s="3">
        <v>8</v>
      </c>
      <c r="P48">
        <v>3.5</v>
      </c>
      <c r="Q48">
        <v>2.4</v>
      </c>
      <c r="R48">
        <v>48</v>
      </c>
      <c r="S48">
        <v>100</v>
      </c>
      <c r="T48" t="s">
        <v>23</v>
      </c>
      <c r="U48" s="11">
        <v>55</v>
      </c>
      <c r="V48" t="s">
        <v>63</v>
      </c>
      <c r="AB48">
        <v>48</v>
      </c>
    </row>
    <row r="49" spans="1:28" x14ac:dyDescent="0.3">
      <c r="A49" s="3" t="s">
        <v>12</v>
      </c>
      <c r="B49" s="3" t="s">
        <v>19</v>
      </c>
      <c r="C49" s="3" t="s">
        <v>67</v>
      </c>
      <c r="D49" s="3">
        <v>6.07</v>
      </c>
      <c r="E49" s="3">
        <v>53</v>
      </c>
      <c r="F49" s="3">
        <v>511</v>
      </c>
      <c r="G49" s="3">
        <v>114</v>
      </c>
      <c r="H49" s="3">
        <v>1</v>
      </c>
      <c r="I49" s="3">
        <v>10</v>
      </c>
      <c r="J49" s="3">
        <v>162</v>
      </c>
      <c r="K49" s="3">
        <v>1571</v>
      </c>
      <c r="L49" s="3">
        <v>3</v>
      </c>
      <c r="M49" s="3">
        <v>124</v>
      </c>
      <c r="N49" s="3">
        <v>139095</v>
      </c>
      <c r="O49" s="3">
        <v>8</v>
      </c>
      <c r="P49" s="3">
        <v>4.0999999999999996</v>
      </c>
      <c r="Q49" s="3">
        <v>5.2</v>
      </c>
      <c r="R49" s="3">
        <v>75</v>
      </c>
      <c r="S49" s="3">
        <v>98</v>
      </c>
      <c r="T49" s="3" t="s">
        <v>23</v>
      </c>
      <c r="U49" s="3">
        <v>55</v>
      </c>
      <c r="V49" s="3" t="s">
        <v>63</v>
      </c>
      <c r="W49" s="3"/>
      <c r="X49" s="3"/>
      <c r="Y49" s="3"/>
      <c r="Z49" s="3"/>
      <c r="AB49" s="3">
        <v>75</v>
      </c>
    </row>
    <row r="50" spans="1:28" x14ac:dyDescent="0.3">
      <c r="A50" s="3" t="s">
        <v>12</v>
      </c>
      <c r="B50" s="3" t="s">
        <v>18</v>
      </c>
      <c r="C50" s="3" t="s">
        <v>67</v>
      </c>
      <c r="D50" s="3">
        <v>6.36</v>
      </c>
      <c r="E50" s="3">
        <v>53</v>
      </c>
      <c r="F50" s="3">
        <v>511</v>
      </c>
      <c r="G50" s="3">
        <v>114</v>
      </c>
      <c r="H50" s="3">
        <v>1</v>
      </c>
      <c r="I50" s="3">
        <v>10</v>
      </c>
      <c r="J50" s="3">
        <v>162</v>
      </c>
      <c r="K50" s="3">
        <v>1542</v>
      </c>
      <c r="L50" s="3">
        <v>3</v>
      </c>
      <c r="M50" s="3">
        <v>124</v>
      </c>
      <c r="N50" s="3">
        <v>137380</v>
      </c>
      <c r="O50" s="3">
        <v>8</v>
      </c>
      <c r="P50" s="3">
        <v>4.0999999999999996</v>
      </c>
      <c r="Q50" s="3">
        <v>3.8</v>
      </c>
      <c r="R50" s="3">
        <v>85</v>
      </c>
      <c r="S50" s="3">
        <v>97</v>
      </c>
      <c r="T50" s="3" t="s">
        <v>23</v>
      </c>
      <c r="U50" s="3">
        <v>45</v>
      </c>
      <c r="V50" s="3" t="s">
        <v>63</v>
      </c>
      <c r="W50" s="3"/>
      <c r="X50" s="3"/>
      <c r="Y50" s="3"/>
      <c r="Z50" s="3"/>
      <c r="AB50" s="3">
        <v>85</v>
      </c>
    </row>
    <row r="51" spans="1:28" x14ac:dyDescent="0.3">
      <c r="A51" s="3" t="s">
        <v>15</v>
      </c>
      <c r="B51" s="3" t="s">
        <v>55</v>
      </c>
      <c r="C51" s="3" t="s">
        <v>67</v>
      </c>
      <c r="D51" s="3">
        <v>103</v>
      </c>
      <c r="E51" s="3">
        <v>2</v>
      </c>
      <c r="F51" s="3">
        <v>12</v>
      </c>
      <c r="G51" s="3">
        <v>5</v>
      </c>
      <c r="H51" s="3">
        <v>0</v>
      </c>
      <c r="I51" s="3">
        <v>0</v>
      </c>
      <c r="J51" s="3">
        <v>5</v>
      </c>
      <c r="K51" s="3">
        <v>560</v>
      </c>
      <c r="L51" s="3">
        <v>1</v>
      </c>
      <c r="M51" s="3">
        <v>60</v>
      </c>
      <c r="N51" s="4">
        <v>957786</v>
      </c>
      <c r="O51" s="3">
        <v>16</v>
      </c>
      <c r="P51" s="3">
        <v>2.7</v>
      </c>
      <c r="Q51" s="3">
        <v>4.3</v>
      </c>
      <c r="R51" s="3" t="s">
        <v>64</v>
      </c>
      <c r="S51" s="3">
        <v>11</v>
      </c>
      <c r="T51" s="3" t="s">
        <v>23</v>
      </c>
      <c r="U51" s="11">
        <v>69</v>
      </c>
      <c r="V51" t="s">
        <v>63</v>
      </c>
      <c r="AB51" s="3">
        <v>0</v>
      </c>
    </row>
    <row r="52" spans="1:28" x14ac:dyDescent="0.3">
      <c r="A52" s="3" t="s">
        <v>12</v>
      </c>
      <c r="B52" s="3" t="s">
        <v>16</v>
      </c>
      <c r="C52" s="3" t="s">
        <v>67</v>
      </c>
      <c r="D52" s="3">
        <v>157</v>
      </c>
      <c r="E52">
        <v>0</v>
      </c>
      <c r="F52">
        <v>21</v>
      </c>
      <c r="G52">
        <v>7</v>
      </c>
      <c r="H52">
        <v>0</v>
      </c>
      <c r="I52">
        <v>0</v>
      </c>
      <c r="J52">
        <v>13</v>
      </c>
      <c r="K52" s="3">
        <v>86</v>
      </c>
      <c r="L52">
        <v>0</v>
      </c>
      <c r="M52" s="9">
        <v>124</v>
      </c>
      <c r="N52">
        <v>1</v>
      </c>
      <c r="O52" s="9">
        <v>8</v>
      </c>
      <c r="P52">
        <v>4.3</v>
      </c>
      <c r="Q52">
        <v>2.9</v>
      </c>
      <c r="R52">
        <v>78</v>
      </c>
      <c r="S52">
        <v>100</v>
      </c>
      <c r="T52" s="3" t="s">
        <v>52</v>
      </c>
      <c r="U52">
        <v>29</v>
      </c>
      <c r="V52" t="s">
        <v>63</v>
      </c>
      <c r="AB52">
        <v>78</v>
      </c>
    </row>
    <row r="53" spans="1:28" x14ac:dyDescent="0.3">
      <c r="A53" t="s">
        <v>10</v>
      </c>
      <c r="B53" t="s">
        <v>16</v>
      </c>
      <c r="C53" s="3" t="s">
        <v>67</v>
      </c>
      <c r="D53">
        <v>157</v>
      </c>
      <c r="E53">
        <v>0</v>
      </c>
      <c r="F53">
        <v>19</v>
      </c>
      <c r="G53">
        <v>10</v>
      </c>
      <c r="H53">
        <v>0</v>
      </c>
      <c r="I53">
        <v>0</v>
      </c>
      <c r="J53">
        <v>9</v>
      </c>
      <c r="K53">
        <v>85</v>
      </c>
      <c r="L53">
        <v>0</v>
      </c>
      <c r="M53" s="9">
        <v>108</v>
      </c>
      <c r="N53">
        <v>1</v>
      </c>
      <c r="O53" s="9">
        <v>8</v>
      </c>
      <c r="P53">
        <v>4.3</v>
      </c>
      <c r="Q53">
        <v>3.2</v>
      </c>
      <c r="R53">
        <v>40</v>
      </c>
      <c r="S53">
        <v>100</v>
      </c>
      <c r="T53" t="s">
        <v>52</v>
      </c>
      <c r="U53" s="3">
        <v>45</v>
      </c>
      <c r="V53" t="s">
        <v>63</v>
      </c>
      <c r="AB53">
        <v>40</v>
      </c>
    </row>
    <row r="54" spans="1:28" x14ac:dyDescent="0.3">
      <c r="A54" s="3" t="s">
        <v>12</v>
      </c>
      <c r="B54" s="3" t="s">
        <v>19</v>
      </c>
      <c r="C54" s="3" t="s">
        <v>67</v>
      </c>
      <c r="D54" s="3">
        <v>6.07</v>
      </c>
      <c r="E54">
        <v>0</v>
      </c>
      <c r="F54">
        <v>21</v>
      </c>
      <c r="G54">
        <v>7</v>
      </c>
      <c r="H54">
        <v>0</v>
      </c>
      <c r="I54">
        <v>0</v>
      </c>
      <c r="J54">
        <v>13</v>
      </c>
      <c r="K54" s="3">
        <v>85</v>
      </c>
      <c r="L54">
        <v>0</v>
      </c>
      <c r="M54" s="9">
        <v>124</v>
      </c>
      <c r="N54">
        <v>1</v>
      </c>
      <c r="O54" s="9">
        <v>8</v>
      </c>
      <c r="P54">
        <v>4.3</v>
      </c>
      <c r="Q54">
        <v>2.9</v>
      </c>
      <c r="R54" s="3">
        <v>75</v>
      </c>
      <c r="S54" s="3">
        <v>100</v>
      </c>
      <c r="T54" s="3" t="s">
        <v>52</v>
      </c>
      <c r="U54">
        <v>70</v>
      </c>
      <c r="V54" t="s">
        <v>63</v>
      </c>
      <c r="AB54" s="3">
        <v>75</v>
      </c>
    </row>
    <row r="55" spans="1:28" x14ac:dyDescent="0.3">
      <c r="A55" t="s">
        <v>12</v>
      </c>
      <c r="B55" t="s">
        <v>17</v>
      </c>
      <c r="C55" s="3" t="s">
        <v>67</v>
      </c>
      <c r="D55">
        <v>156</v>
      </c>
      <c r="E55">
        <v>0</v>
      </c>
      <c r="F55">
        <v>21</v>
      </c>
      <c r="G55">
        <v>7</v>
      </c>
      <c r="H55">
        <v>0</v>
      </c>
      <c r="I55">
        <v>0</v>
      </c>
      <c r="J55">
        <v>13</v>
      </c>
      <c r="K55" s="3">
        <v>75</v>
      </c>
      <c r="L55">
        <v>0</v>
      </c>
      <c r="M55" s="9">
        <v>124</v>
      </c>
      <c r="N55">
        <v>1</v>
      </c>
      <c r="O55" s="9">
        <v>8</v>
      </c>
      <c r="P55">
        <v>4.3</v>
      </c>
      <c r="Q55">
        <v>2.9</v>
      </c>
      <c r="R55">
        <v>75</v>
      </c>
      <c r="S55">
        <v>100</v>
      </c>
      <c r="T55" t="s">
        <v>52</v>
      </c>
      <c r="U55">
        <v>70</v>
      </c>
      <c r="V55" t="s">
        <v>63</v>
      </c>
      <c r="AB55">
        <v>75</v>
      </c>
    </row>
    <row r="56" spans="1:28" x14ac:dyDescent="0.3">
      <c r="A56" t="s">
        <v>10</v>
      </c>
      <c r="B56" t="s">
        <v>17</v>
      </c>
      <c r="C56" s="3" t="s">
        <v>67</v>
      </c>
      <c r="D56">
        <v>156</v>
      </c>
      <c r="E56">
        <v>0</v>
      </c>
      <c r="F56">
        <v>19</v>
      </c>
      <c r="G56">
        <v>10</v>
      </c>
      <c r="H56">
        <v>0</v>
      </c>
      <c r="I56">
        <v>0</v>
      </c>
      <c r="J56">
        <v>9</v>
      </c>
      <c r="K56">
        <v>70</v>
      </c>
      <c r="L56">
        <v>0</v>
      </c>
      <c r="M56" s="9">
        <v>108</v>
      </c>
      <c r="N56">
        <v>1</v>
      </c>
      <c r="O56" s="9">
        <v>8</v>
      </c>
      <c r="P56">
        <v>4.5</v>
      </c>
      <c r="Q56">
        <v>23.9</v>
      </c>
      <c r="R56">
        <v>39</v>
      </c>
      <c r="S56">
        <v>100</v>
      </c>
      <c r="T56" t="s">
        <v>52</v>
      </c>
      <c r="U56">
        <v>28</v>
      </c>
      <c r="V56" t="s">
        <v>63</v>
      </c>
      <c r="AB56">
        <v>39</v>
      </c>
    </row>
    <row r="57" spans="1:28" x14ac:dyDescent="0.3">
      <c r="A57" s="3" t="s">
        <v>12</v>
      </c>
      <c r="B57" s="3" t="s">
        <v>18</v>
      </c>
      <c r="C57" s="3" t="s">
        <v>67</v>
      </c>
      <c r="D57" s="3">
        <v>6.36</v>
      </c>
      <c r="E57">
        <v>0</v>
      </c>
      <c r="F57">
        <v>21</v>
      </c>
      <c r="G57">
        <v>7</v>
      </c>
      <c r="H57">
        <v>0</v>
      </c>
      <c r="I57">
        <v>0</v>
      </c>
      <c r="J57">
        <v>13</v>
      </c>
      <c r="K57" s="3">
        <v>63</v>
      </c>
      <c r="L57">
        <v>0</v>
      </c>
      <c r="M57" s="9">
        <v>124</v>
      </c>
      <c r="N57">
        <v>1</v>
      </c>
      <c r="O57" s="9">
        <v>8</v>
      </c>
      <c r="P57">
        <v>4.3</v>
      </c>
      <c r="Q57">
        <v>2.9</v>
      </c>
      <c r="R57" s="3">
        <v>75</v>
      </c>
      <c r="S57" s="3">
        <v>100</v>
      </c>
      <c r="T57" s="3" t="s">
        <v>52</v>
      </c>
      <c r="U57">
        <v>70</v>
      </c>
      <c r="V57" t="s">
        <v>63</v>
      </c>
      <c r="AB57" s="3">
        <v>75</v>
      </c>
    </row>
    <row r="58" spans="1:28" x14ac:dyDescent="0.3">
      <c r="A58" t="s">
        <v>10</v>
      </c>
      <c r="B58" t="s">
        <v>18</v>
      </c>
      <c r="C58" s="3" t="s">
        <v>67</v>
      </c>
      <c r="D58">
        <v>6.36</v>
      </c>
      <c r="E58">
        <v>0</v>
      </c>
      <c r="F58">
        <v>19</v>
      </c>
      <c r="G58">
        <v>10</v>
      </c>
      <c r="H58">
        <v>0</v>
      </c>
      <c r="I58">
        <v>0</v>
      </c>
      <c r="J58">
        <v>9</v>
      </c>
      <c r="K58">
        <v>60</v>
      </c>
      <c r="L58">
        <v>0</v>
      </c>
      <c r="M58" s="9">
        <v>108</v>
      </c>
      <c r="N58">
        <v>1</v>
      </c>
      <c r="O58" s="9">
        <v>8</v>
      </c>
      <c r="P58">
        <v>4.4000000000000004</v>
      </c>
      <c r="Q58">
        <v>2.2999999999999998</v>
      </c>
      <c r="R58">
        <v>41</v>
      </c>
      <c r="S58">
        <v>100</v>
      </c>
      <c r="T58" t="s">
        <v>52</v>
      </c>
      <c r="U58">
        <v>29</v>
      </c>
      <c r="V58" t="s">
        <v>63</v>
      </c>
      <c r="AB58">
        <v>41</v>
      </c>
    </row>
    <row r="59" spans="1:28" x14ac:dyDescent="0.3">
      <c r="A59" s="3" t="s">
        <v>10</v>
      </c>
      <c r="B59" s="3" t="s">
        <v>19</v>
      </c>
      <c r="C59" s="3" t="s">
        <v>67</v>
      </c>
      <c r="D59" s="3">
        <v>6.07</v>
      </c>
      <c r="E59">
        <v>0</v>
      </c>
      <c r="F59">
        <v>19</v>
      </c>
      <c r="G59">
        <v>10</v>
      </c>
      <c r="H59">
        <v>0</v>
      </c>
      <c r="I59">
        <v>0</v>
      </c>
      <c r="J59">
        <v>9</v>
      </c>
      <c r="K59" s="3">
        <v>60</v>
      </c>
      <c r="L59">
        <v>0</v>
      </c>
      <c r="M59" s="9">
        <v>108</v>
      </c>
      <c r="N59">
        <v>1</v>
      </c>
      <c r="O59" s="9">
        <v>8</v>
      </c>
      <c r="P59" s="3">
        <v>4.4000000000000004</v>
      </c>
      <c r="Q59" s="3">
        <v>2.4</v>
      </c>
      <c r="R59" s="3">
        <v>40</v>
      </c>
      <c r="S59" s="3">
        <v>100</v>
      </c>
      <c r="T59" t="s">
        <v>52</v>
      </c>
      <c r="U59">
        <v>31</v>
      </c>
      <c r="V59" t="s">
        <v>63</v>
      </c>
      <c r="AB59" s="3">
        <v>40</v>
      </c>
    </row>
    <row r="60" spans="1:28" x14ac:dyDescent="0.3">
      <c r="A60" s="3" t="s">
        <v>15</v>
      </c>
      <c r="B60" s="3" t="s">
        <v>43</v>
      </c>
      <c r="C60" s="3" t="s">
        <v>67</v>
      </c>
      <c r="D60" s="3">
        <v>36.799999999999997</v>
      </c>
      <c r="E60">
        <v>1</v>
      </c>
      <c r="F60">
        <v>31</v>
      </c>
      <c r="G60">
        <v>15</v>
      </c>
      <c r="H60">
        <v>1</v>
      </c>
      <c r="I60">
        <v>1</v>
      </c>
      <c r="J60">
        <v>14</v>
      </c>
      <c r="K60" s="3">
        <v>1.7210000000000001</v>
      </c>
      <c r="L60">
        <v>0</v>
      </c>
      <c r="M60" s="9">
        <v>138</v>
      </c>
      <c r="N60">
        <v>1</v>
      </c>
      <c r="O60" s="9">
        <v>100</v>
      </c>
      <c r="P60" s="3">
        <v>4.0999999999999996</v>
      </c>
      <c r="Q60" s="3">
        <v>14.3</v>
      </c>
      <c r="R60" s="3">
        <v>1.5</v>
      </c>
      <c r="S60" s="3">
        <v>17</v>
      </c>
      <c r="T60" s="3" t="s">
        <v>52</v>
      </c>
      <c r="U60" s="3">
        <v>34</v>
      </c>
      <c r="V60" t="s">
        <v>63</v>
      </c>
      <c r="AB60" s="3">
        <v>1.5</v>
      </c>
    </row>
    <row r="61" spans="1:28" x14ac:dyDescent="0.3">
      <c r="A61" s="3" t="s">
        <v>15</v>
      </c>
      <c r="B61" s="3" t="s">
        <v>44</v>
      </c>
      <c r="C61" s="3" t="s">
        <v>67</v>
      </c>
      <c r="D61" s="3">
        <v>103</v>
      </c>
      <c r="E61">
        <v>1</v>
      </c>
      <c r="F61">
        <v>31</v>
      </c>
      <c r="G61">
        <v>15</v>
      </c>
      <c r="H61">
        <v>1</v>
      </c>
      <c r="I61">
        <v>1</v>
      </c>
      <c r="J61">
        <v>14</v>
      </c>
      <c r="K61" s="4">
        <v>1.645</v>
      </c>
      <c r="L61">
        <v>0</v>
      </c>
      <c r="M61" s="9">
        <v>138</v>
      </c>
      <c r="N61">
        <v>1</v>
      </c>
      <c r="O61" s="9">
        <v>100</v>
      </c>
      <c r="P61" s="3">
        <v>3</v>
      </c>
      <c r="Q61" s="3">
        <v>14</v>
      </c>
      <c r="R61" s="3">
        <v>1.5</v>
      </c>
      <c r="S61" s="3">
        <v>3</v>
      </c>
      <c r="T61" s="3" t="s">
        <v>52</v>
      </c>
      <c r="U61" s="3">
        <v>35</v>
      </c>
      <c r="V61" t="s">
        <v>63</v>
      </c>
      <c r="AB61" s="3">
        <v>1.5</v>
      </c>
    </row>
    <row r="62" spans="1:28" x14ac:dyDescent="0.3">
      <c r="A62" s="3" t="s">
        <v>45</v>
      </c>
      <c r="B62" s="3" t="s">
        <v>17</v>
      </c>
      <c r="C62" s="3" t="s">
        <v>67</v>
      </c>
      <c r="D62" s="3">
        <v>156</v>
      </c>
      <c r="E62" s="3">
        <v>53</v>
      </c>
      <c r="F62" s="3">
        <v>511</v>
      </c>
      <c r="G62" s="3">
        <v>114</v>
      </c>
      <c r="H62" s="3">
        <v>1</v>
      </c>
      <c r="I62" s="3">
        <v>10</v>
      </c>
      <c r="J62" s="3">
        <v>162</v>
      </c>
      <c r="K62" s="4">
        <v>1573077</v>
      </c>
      <c r="L62" s="3">
        <v>3</v>
      </c>
      <c r="M62" s="3">
        <v>124</v>
      </c>
      <c r="N62" s="3" t="s">
        <v>49</v>
      </c>
      <c r="O62" s="3">
        <v>8</v>
      </c>
      <c r="P62" s="3">
        <v>47.6</v>
      </c>
      <c r="Q62" s="3">
        <v>27.4</v>
      </c>
      <c r="R62" s="3">
        <v>0</v>
      </c>
      <c r="S62" s="3">
        <v>0</v>
      </c>
      <c r="T62" s="3" t="s">
        <v>23</v>
      </c>
      <c r="U62" s="11">
        <v>28</v>
      </c>
      <c r="V62" s="3" t="s">
        <v>40</v>
      </c>
      <c r="W62" s="4">
        <v>1</v>
      </c>
      <c r="X62" s="3"/>
      <c r="Y62" s="3"/>
      <c r="Z62" s="3"/>
    </row>
    <row r="63" spans="1:28" x14ac:dyDescent="0.3">
      <c r="A63" s="3" t="s">
        <v>10</v>
      </c>
      <c r="B63" s="3" t="s">
        <v>16</v>
      </c>
      <c r="C63" s="3" t="s">
        <v>67</v>
      </c>
      <c r="D63" s="3">
        <v>157</v>
      </c>
      <c r="E63" s="3">
        <v>44</v>
      </c>
      <c r="F63" s="3">
        <v>467</v>
      </c>
      <c r="G63" s="3">
        <v>106</v>
      </c>
      <c r="H63" s="3">
        <v>0</v>
      </c>
      <c r="I63" s="3">
        <v>9</v>
      </c>
      <c r="J63" s="3">
        <v>150</v>
      </c>
      <c r="K63" s="4">
        <v>1376552</v>
      </c>
      <c r="L63" s="3">
        <v>1</v>
      </c>
      <c r="M63" s="3">
        <v>108</v>
      </c>
      <c r="N63" s="3" t="s">
        <v>49</v>
      </c>
      <c r="O63" s="3">
        <v>8</v>
      </c>
      <c r="P63" s="3">
        <v>51.4</v>
      </c>
      <c r="Q63" s="3">
        <v>9.6</v>
      </c>
      <c r="R63" s="3">
        <v>0</v>
      </c>
      <c r="S63" s="3">
        <v>0</v>
      </c>
      <c r="T63" s="3" t="s">
        <v>23</v>
      </c>
      <c r="U63" s="11">
        <v>28</v>
      </c>
      <c r="V63" s="3" t="s">
        <v>40</v>
      </c>
      <c r="W63" s="4">
        <v>1</v>
      </c>
      <c r="X63" s="3"/>
      <c r="Y63" s="3"/>
      <c r="Z63" s="3"/>
      <c r="AB63">
        <f>AVERAGE(AB2:AB62)</f>
        <v>45.031833333333331</v>
      </c>
    </row>
    <row r="64" spans="1:28" x14ac:dyDescent="0.3">
      <c r="A64" s="3" t="s">
        <v>45</v>
      </c>
      <c r="B64" s="3" t="s">
        <v>16</v>
      </c>
      <c r="C64" s="3" t="s">
        <v>67</v>
      </c>
      <c r="D64" s="3">
        <v>157</v>
      </c>
      <c r="E64" s="3">
        <v>53</v>
      </c>
      <c r="F64" s="3">
        <v>511</v>
      </c>
      <c r="G64" s="3">
        <v>114</v>
      </c>
      <c r="H64" s="3">
        <v>1</v>
      </c>
      <c r="I64" s="3">
        <v>10</v>
      </c>
      <c r="J64" s="3">
        <v>162</v>
      </c>
      <c r="K64" s="4">
        <v>1513607</v>
      </c>
      <c r="L64" s="3">
        <v>3</v>
      </c>
      <c r="M64" s="3">
        <v>124</v>
      </c>
      <c r="N64" s="3" t="s">
        <v>50</v>
      </c>
      <c r="O64" s="3">
        <v>8</v>
      </c>
      <c r="P64" s="3">
        <v>46.7</v>
      </c>
      <c r="Q64" s="3">
        <v>19.2</v>
      </c>
      <c r="R64" s="3">
        <v>0</v>
      </c>
      <c r="S64" s="3">
        <v>0</v>
      </c>
      <c r="T64" s="3" t="s">
        <v>23</v>
      </c>
      <c r="U64" s="11">
        <v>27</v>
      </c>
      <c r="V64" s="3" t="s">
        <v>40</v>
      </c>
      <c r="W64" s="3"/>
      <c r="X64" s="3"/>
      <c r="Y64" s="3"/>
      <c r="Z64" s="3"/>
    </row>
    <row r="65" spans="1:26" x14ac:dyDescent="0.3">
      <c r="A65" t="s">
        <v>10</v>
      </c>
      <c r="B65" t="s">
        <v>17</v>
      </c>
      <c r="C65" s="3" t="s">
        <v>67</v>
      </c>
      <c r="D65">
        <v>156</v>
      </c>
      <c r="E65" s="3">
        <v>44</v>
      </c>
      <c r="F65" s="3">
        <v>467</v>
      </c>
      <c r="G65" s="3">
        <v>106</v>
      </c>
      <c r="H65" s="3">
        <v>0</v>
      </c>
      <c r="I65" s="3">
        <v>9</v>
      </c>
      <c r="J65" s="3">
        <v>150</v>
      </c>
      <c r="K65">
        <v>1101600</v>
      </c>
      <c r="L65">
        <v>1</v>
      </c>
      <c r="M65" s="3">
        <v>108</v>
      </c>
      <c r="N65" s="3" t="s">
        <v>49</v>
      </c>
      <c r="O65" s="3">
        <v>8</v>
      </c>
      <c r="P65">
        <v>51.5</v>
      </c>
      <c r="Q65">
        <v>10.7</v>
      </c>
      <c r="R65">
        <v>0</v>
      </c>
      <c r="S65">
        <v>0</v>
      </c>
      <c r="T65" t="s">
        <v>23</v>
      </c>
      <c r="U65" s="11">
        <v>27</v>
      </c>
      <c r="V65" t="s">
        <v>40</v>
      </c>
    </row>
    <row r="66" spans="1:26" x14ac:dyDescent="0.3">
      <c r="A66" s="3" t="s">
        <v>45</v>
      </c>
      <c r="B66" s="3" t="s">
        <v>19</v>
      </c>
      <c r="C66" s="3" t="s">
        <v>67</v>
      </c>
      <c r="D66" s="3">
        <v>6.07</v>
      </c>
      <c r="E66" s="3">
        <v>53</v>
      </c>
      <c r="F66" s="3">
        <v>511</v>
      </c>
      <c r="G66" s="3">
        <v>114</v>
      </c>
      <c r="H66" s="3">
        <v>1</v>
      </c>
      <c r="I66" s="3">
        <v>10</v>
      </c>
      <c r="J66" s="3">
        <v>162</v>
      </c>
      <c r="K66" s="3">
        <v>29008</v>
      </c>
      <c r="L66" s="3">
        <v>3</v>
      </c>
      <c r="M66" s="3">
        <v>124</v>
      </c>
      <c r="N66" s="3">
        <v>105277</v>
      </c>
      <c r="O66" s="3">
        <v>8</v>
      </c>
      <c r="P66" s="3">
        <v>49</v>
      </c>
      <c r="Q66" s="3">
        <v>20.3</v>
      </c>
      <c r="R66" s="3">
        <v>0</v>
      </c>
      <c r="S66" s="3">
        <v>0</v>
      </c>
      <c r="T66" s="3" t="s">
        <v>23</v>
      </c>
      <c r="U66" s="11">
        <v>28</v>
      </c>
      <c r="V66" s="3" t="s">
        <v>40</v>
      </c>
      <c r="W66" s="3"/>
      <c r="X66" s="3"/>
      <c r="Y66" s="3"/>
      <c r="Z66" s="3"/>
    </row>
    <row r="67" spans="1:26" x14ac:dyDescent="0.3">
      <c r="A67" s="3" t="s">
        <v>45</v>
      </c>
      <c r="B67" s="3" t="s">
        <v>18</v>
      </c>
      <c r="C67" s="3" t="s">
        <v>67</v>
      </c>
      <c r="D67" s="3">
        <v>6.36</v>
      </c>
      <c r="E67" s="3">
        <v>53</v>
      </c>
      <c r="F67" s="3">
        <v>511</v>
      </c>
      <c r="G67" s="3">
        <v>114</v>
      </c>
      <c r="H67" s="3">
        <v>1</v>
      </c>
      <c r="I67" s="3">
        <v>10</v>
      </c>
      <c r="J67" s="3">
        <v>162</v>
      </c>
      <c r="K67" s="3">
        <v>28913</v>
      </c>
      <c r="L67" s="3">
        <v>3</v>
      </c>
      <c r="M67" s="3">
        <v>124</v>
      </c>
      <c r="N67" s="3">
        <v>246781</v>
      </c>
      <c r="O67" s="3">
        <v>8</v>
      </c>
      <c r="P67" s="3">
        <v>46.2</v>
      </c>
      <c r="Q67" s="3">
        <v>11.4</v>
      </c>
      <c r="R67" s="3">
        <v>0</v>
      </c>
      <c r="S67" s="3">
        <v>0</v>
      </c>
      <c r="T67" s="3" t="s">
        <v>23</v>
      </c>
      <c r="U67" s="11">
        <v>27</v>
      </c>
      <c r="V67" s="3" t="s">
        <v>40</v>
      </c>
      <c r="W67" s="3"/>
      <c r="X67" s="3"/>
      <c r="Y67" s="3"/>
      <c r="Z67" s="3"/>
    </row>
    <row r="68" spans="1:26" x14ac:dyDescent="0.3">
      <c r="A68" s="3" t="s">
        <v>10</v>
      </c>
      <c r="B68" s="3" t="s">
        <v>18</v>
      </c>
      <c r="C68" s="3" t="s">
        <v>67</v>
      </c>
      <c r="D68" s="3">
        <v>6.07</v>
      </c>
      <c r="E68" s="3">
        <v>44</v>
      </c>
      <c r="F68" s="3">
        <v>467</v>
      </c>
      <c r="G68" s="3">
        <v>106</v>
      </c>
      <c r="H68" s="3">
        <v>0</v>
      </c>
      <c r="I68" s="3">
        <v>9</v>
      </c>
      <c r="J68" s="3">
        <v>150</v>
      </c>
      <c r="K68" s="4">
        <v>17449</v>
      </c>
      <c r="L68" s="3">
        <v>3</v>
      </c>
      <c r="M68" s="3">
        <v>108</v>
      </c>
      <c r="N68" s="3">
        <v>382789</v>
      </c>
      <c r="O68" s="3">
        <v>8</v>
      </c>
      <c r="P68" s="3">
        <v>49.7</v>
      </c>
      <c r="Q68" s="3">
        <v>12.6</v>
      </c>
      <c r="R68" s="3">
        <v>0</v>
      </c>
      <c r="S68" s="3">
        <v>0</v>
      </c>
      <c r="T68" s="3" t="s">
        <v>23</v>
      </c>
      <c r="U68" s="11">
        <v>27</v>
      </c>
      <c r="V68" s="3" t="s">
        <v>40</v>
      </c>
      <c r="W68" s="4"/>
      <c r="X68" s="3"/>
      <c r="Y68" s="3"/>
      <c r="Z68" s="3"/>
    </row>
    <row r="69" spans="1:26" x14ac:dyDescent="0.3">
      <c r="A69" s="3" t="s">
        <v>10</v>
      </c>
      <c r="B69" s="3" t="s">
        <v>19</v>
      </c>
      <c r="C69" s="3" t="s">
        <v>67</v>
      </c>
      <c r="D69" s="3">
        <v>6.36</v>
      </c>
      <c r="E69" s="3">
        <v>44</v>
      </c>
      <c r="F69" s="3">
        <v>467</v>
      </c>
      <c r="G69" s="3">
        <v>106</v>
      </c>
      <c r="H69" s="3">
        <v>0</v>
      </c>
      <c r="I69" s="3">
        <v>9</v>
      </c>
      <c r="J69" s="3">
        <v>150</v>
      </c>
      <c r="K69" s="4">
        <v>16226</v>
      </c>
      <c r="L69" s="3">
        <v>3</v>
      </c>
      <c r="M69" s="3">
        <v>108</v>
      </c>
      <c r="N69" s="3">
        <v>404907</v>
      </c>
      <c r="O69" s="3">
        <v>8</v>
      </c>
      <c r="P69" s="3">
        <v>52.7</v>
      </c>
      <c r="Q69" s="3">
        <v>12</v>
      </c>
      <c r="R69" s="3">
        <v>0</v>
      </c>
      <c r="S69" s="3">
        <v>0</v>
      </c>
      <c r="T69" s="3" t="s">
        <v>23</v>
      </c>
      <c r="U69" s="11">
        <v>27</v>
      </c>
      <c r="V69" s="3" t="s">
        <v>40</v>
      </c>
      <c r="W69" s="4"/>
      <c r="X69" s="3"/>
      <c r="Y69" s="3"/>
      <c r="Z69" s="3"/>
    </row>
    <row r="70" spans="1:26" x14ac:dyDescent="0.3">
      <c r="A70" s="3" t="s">
        <v>15</v>
      </c>
      <c r="B70" s="3" t="s">
        <v>43</v>
      </c>
      <c r="C70" s="3" t="s">
        <v>67</v>
      </c>
      <c r="D70" s="3">
        <v>36.799999999999997</v>
      </c>
      <c r="E70" s="3">
        <v>2</v>
      </c>
      <c r="F70" s="3">
        <v>12</v>
      </c>
      <c r="G70" s="3">
        <v>5</v>
      </c>
      <c r="H70" s="3">
        <v>0</v>
      </c>
      <c r="I70" s="3">
        <v>0</v>
      </c>
      <c r="J70" s="3">
        <v>5</v>
      </c>
      <c r="K70" s="4">
        <v>8497</v>
      </c>
      <c r="L70" s="3">
        <v>1</v>
      </c>
      <c r="M70" s="3">
        <v>60</v>
      </c>
      <c r="N70" s="3">
        <v>1598717</v>
      </c>
      <c r="O70" s="3">
        <v>16</v>
      </c>
      <c r="P70" s="3">
        <v>50.4</v>
      </c>
      <c r="Q70" s="3">
        <v>5</v>
      </c>
      <c r="R70" s="3">
        <v>0</v>
      </c>
      <c r="S70" s="3">
        <v>0</v>
      </c>
      <c r="T70" s="3" t="s">
        <v>23</v>
      </c>
      <c r="U70" s="11">
        <v>28</v>
      </c>
      <c r="V70" s="3" t="s">
        <v>40</v>
      </c>
      <c r="W70" s="3"/>
      <c r="X70" s="3"/>
      <c r="Y70" s="3"/>
      <c r="Z70" s="3"/>
    </row>
    <row r="71" spans="1:26" x14ac:dyDescent="0.3">
      <c r="A71" s="3" t="s">
        <v>15</v>
      </c>
      <c r="B71" s="3" t="s">
        <v>44</v>
      </c>
      <c r="C71" s="3" t="s">
        <v>67</v>
      </c>
      <c r="D71" s="3">
        <v>103</v>
      </c>
      <c r="E71" s="3">
        <v>2</v>
      </c>
      <c r="F71" s="3">
        <v>12</v>
      </c>
      <c r="G71" s="3">
        <v>5</v>
      </c>
      <c r="H71" s="3">
        <v>0</v>
      </c>
      <c r="I71" s="3">
        <v>0</v>
      </c>
      <c r="J71" s="3">
        <v>5</v>
      </c>
      <c r="K71" s="4">
        <v>810</v>
      </c>
      <c r="L71" s="3">
        <v>1</v>
      </c>
      <c r="M71" s="3">
        <v>60</v>
      </c>
      <c r="N71">
        <v>902157</v>
      </c>
      <c r="O71" s="3">
        <v>16</v>
      </c>
      <c r="P71" s="3">
        <v>49.4</v>
      </c>
      <c r="Q71" s="3">
        <v>3.9</v>
      </c>
      <c r="R71" s="3">
        <v>0</v>
      </c>
      <c r="S71" s="3">
        <v>0</v>
      </c>
      <c r="T71" s="3" t="s">
        <v>23</v>
      </c>
      <c r="U71" s="11">
        <v>28</v>
      </c>
      <c r="V71" s="3" t="s">
        <v>40</v>
      </c>
      <c r="W71" s="3"/>
      <c r="X71" s="3"/>
      <c r="Y71" s="3"/>
      <c r="Z71" s="3"/>
    </row>
    <row r="72" spans="1:26" x14ac:dyDescent="0.3">
      <c r="A72" s="3" t="s">
        <v>45</v>
      </c>
      <c r="B72" s="3" t="s">
        <v>16</v>
      </c>
      <c r="C72" s="3" t="s">
        <v>67</v>
      </c>
      <c r="D72" s="3">
        <v>157</v>
      </c>
      <c r="E72">
        <v>0</v>
      </c>
      <c r="F72">
        <v>21</v>
      </c>
      <c r="G72">
        <v>7</v>
      </c>
      <c r="H72">
        <v>0</v>
      </c>
      <c r="I72">
        <v>0</v>
      </c>
      <c r="J72">
        <v>13</v>
      </c>
      <c r="K72" s="4">
        <v>138.18600000000001</v>
      </c>
      <c r="L72">
        <v>0</v>
      </c>
      <c r="M72" s="9">
        <v>132</v>
      </c>
      <c r="N72">
        <v>1</v>
      </c>
      <c r="O72" s="9">
        <v>100</v>
      </c>
      <c r="P72" s="3">
        <v>5</v>
      </c>
      <c r="Q72" s="3">
        <v>50.1</v>
      </c>
      <c r="R72" s="3">
        <v>0</v>
      </c>
      <c r="S72" s="3">
        <v>0</v>
      </c>
      <c r="T72" s="3" t="s">
        <v>52</v>
      </c>
      <c r="U72" s="3">
        <v>35</v>
      </c>
      <c r="V72" s="3" t="s">
        <v>40</v>
      </c>
    </row>
    <row r="73" spans="1:26" x14ac:dyDescent="0.3">
      <c r="A73" s="3" t="s">
        <v>45</v>
      </c>
      <c r="B73" s="3" t="s">
        <v>17</v>
      </c>
      <c r="C73" s="3" t="s">
        <v>67</v>
      </c>
      <c r="D73" s="3">
        <v>156</v>
      </c>
      <c r="E73">
        <v>0</v>
      </c>
      <c r="F73">
        <v>21</v>
      </c>
      <c r="G73">
        <v>7</v>
      </c>
      <c r="H73">
        <v>0</v>
      </c>
      <c r="I73">
        <v>0</v>
      </c>
      <c r="J73">
        <v>13</v>
      </c>
      <c r="K73" s="3">
        <v>133.84</v>
      </c>
      <c r="L73">
        <v>0</v>
      </c>
      <c r="M73" s="9">
        <v>132</v>
      </c>
      <c r="N73">
        <v>1</v>
      </c>
      <c r="O73" s="9">
        <v>100</v>
      </c>
      <c r="P73" s="3">
        <v>5.9</v>
      </c>
      <c r="Q73" s="3">
        <v>50.7</v>
      </c>
      <c r="R73" s="3">
        <v>0</v>
      </c>
      <c r="S73" s="3">
        <v>0</v>
      </c>
      <c r="T73" s="3" t="s">
        <v>52</v>
      </c>
      <c r="U73">
        <v>31</v>
      </c>
      <c r="V73" s="3" t="s">
        <v>40</v>
      </c>
    </row>
    <row r="74" spans="1:26" x14ac:dyDescent="0.3">
      <c r="A74" s="3" t="s">
        <v>45</v>
      </c>
      <c r="B74" s="3" t="s">
        <v>19</v>
      </c>
      <c r="C74" s="3" t="s">
        <v>67</v>
      </c>
      <c r="D74" s="3">
        <v>6.07</v>
      </c>
      <c r="E74">
        <v>0</v>
      </c>
      <c r="F74">
        <v>21</v>
      </c>
      <c r="G74">
        <v>7</v>
      </c>
      <c r="H74">
        <v>0</v>
      </c>
      <c r="I74">
        <v>0</v>
      </c>
      <c r="J74">
        <v>13</v>
      </c>
      <c r="K74" s="3">
        <v>128.12799999999999</v>
      </c>
      <c r="L74">
        <v>0</v>
      </c>
      <c r="M74" s="9">
        <v>138</v>
      </c>
      <c r="N74">
        <v>1</v>
      </c>
      <c r="O74" s="9">
        <v>100</v>
      </c>
      <c r="P74" s="3">
        <v>5.2</v>
      </c>
      <c r="Q74" s="3">
        <v>50.2</v>
      </c>
      <c r="R74" s="3">
        <v>0</v>
      </c>
      <c r="S74" s="3">
        <v>0</v>
      </c>
      <c r="T74" s="3" t="s">
        <v>52</v>
      </c>
      <c r="U74">
        <v>77</v>
      </c>
      <c r="V74" s="3" t="s">
        <v>40</v>
      </c>
    </row>
    <row r="75" spans="1:26" x14ac:dyDescent="0.3">
      <c r="A75" s="3" t="s">
        <v>45</v>
      </c>
      <c r="B75" s="3" t="s">
        <v>18</v>
      </c>
      <c r="C75" s="3" t="s">
        <v>67</v>
      </c>
      <c r="D75" s="3">
        <v>6.36</v>
      </c>
      <c r="E75">
        <v>0</v>
      </c>
      <c r="F75">
        <v>21</v>
      </c>
      <c r="G75">
        <v>7</v>
      </c>
      <c r="H75">
        <v>0</v>
      </c>
      <c r="I75">
        <v>0</v>
      </c>
      <c r="J75">
        <v>13</v>
      </c>
      <c r="K75" s="3">
        <v>126.096</v>
      </c>
      <c r="L75">
        <v>0</v>
      </c>
      <c r="M75" s="9">
        <v>138</v>
      </c>
      <c r="N75">
        <v>1</v>
      </c>
      <c r="O75" s="9">
        <v>100</v>
      </c>
      <c r="P75" s="3">
        <v>4.7</v>
      </c>
      <c r="Q75" s="3">
        <v>50.2</v>
      </c>
      <c r="R75" s="3">
        <v>0</v>
      </c>
      <c r="S75" s="3">
        <v>0</v>
      </c>
      <c r="T75" s="3" t="s">
        <v>52</v>
      </c>
      <c r="U75">
        <v>70</v>
      </c>
      <c r="V75" s="3" t="s">
        <v>40</v>
      </c>
    </row>
    <row r="76" spans="1:26" x14ac:dyDescent="0.3">
      <c r="A76" s="3" t="s">
        <v>10</v>
      </c>
      <c r="B76" s="3" t="s">
        <v>16</v>
      </c>
      <c r="C76" s="3" t="s">
        <v>67</v>
      </c>
      <c r="D76" s="3">
        <v>157</v>
      </c>
      <c r="E76">
        <v>0</v>
      </c>
      <c r="F76">
        <v>19</v>
      </c>
      <c r="G76">
        <v>10</v>
      </c>
      <c r="H76">
        <v>0</v>
      </c>
      <c r="I76">
        <v>0</v>
      </c>
      <c r="J76">
        <v>9</v>
      </c>
      <c r="K76" s="4">
        <v>118.92100000000001</v>
      </c>
      <c r="L76">
        <v>0</v>
      </c>
      <c r="M76" s="9">
        <v>132</v>
      </c>
      <c r="N76">
        <v>1</v>
      </c>
      <c r="O76" s="9">
        <v>100</v>
      </c>
      <c r="P76" s="3">
        <v>11</v>
      </c>
      <c r="Q76" s="3">
        <v>55.7</v>
      </c>
      <c r="R76" s="3">
        <v>0</v>
      </c>
      <c r="S76" s="3">
        <v>0</v>
      </c>
      <c r="T76" s="3" t="s">
        <v>52</v>
      </c>
      <c r="U76">
        <v>29</v>
      </c>
      <c r="V76" s="3" t="s">
        <v>40</v>
      </c>
    </row>
    <row r="77" spans="1:26" x14ac:dyDescent="0.3">
      <c r="A77" t="s">
        <v>10</v>
      </c>
      <c r="B77" t="s">
        <v>17</v>
      </c>
      <c r="C77" s="3" t="s">
        <v>67</v>
      </c>
      <c r="D77">
        <v>156</v>
      </c>
      <c r="E77">
        <v>0</v>
      </c>
      <c r="F77">
        <v>19</v>
      </c>
      <c r="G77">
        <v>10</v>
      </c>
      <c r="H77">
        <v>0</v>
      </c>
      <c r="I77">
        <v>0</v>
      </c>
      <c r="J77">
        <v>9</v>
      </c>
      <c r="K77" s="4">
        <v>101.318</v>
      </c>
      <c r="L77">
        <v>0</v>
      </c>
      <c r="M77" s="9">
        <v>132</v>
      </c>
      <c r="N77">
        <v>1</v>
      </c>
      <c r="O77" s="9">
        <v>100</v>
      </c>
      <c r="P77" s="3">
        <v>3.9</v>
      </c>
      <c r="Q77" s="3">
        <v>47.6</v>
      </c>
      <c r="R77" s="3">
        <v>0</v>
      </c>
      <c r="S77" s="3">
        <v>0</v>
      </c>
      <c r="T77" s="3" t="s">
        <v>52</v>
      </c>
      <c r="U77">
        <v>70</v>
      </c>
      <c r="V77" t="s">
        <v>40</v>
      </c>
    </row>
    <row r="78" spans="1:26" x14ac:dyDescent="0.3">
      <c r="A78" s="3" t="s">
        <v>10</v>
      </c>
      <c r="B78" s="3" t="s">
        <v>18</v>
      </c>
      <c r="C78" s="3" t="s">
        <v>67</v>
      </c>
      <c r="D78" s="3">
        <v>6.07</v>
      </c>
      <c r="E78">
        <v>0</v>
      </c>
      <c r="F78">
        <v>19</v>
      </c>
      <c r="G78">
        <v>10</v>
      </c>
      <c r="H78">
        <v>0</v>
      </c>
      <c r="I78">
        <v>0</v>
      </c>
      <c r="J78">
        <v>9</v>
      </c>
      <c r="K78" s="4">
        <v>100</v>
      </c>
      <c r="L78">
        <v>0</v>
      </c>
      <c r="M78" s="9">
        <v>25.6</v>
      </c>
      <c r="N78">
        <v>1</v>
      </c>
      <c r="O78" s="9">
        <v>32</v>
      </c>
      <c r="P78" s="3">
        <v>3.7</v>
      </c>
      <c r="Q78" s="3">
        <v>48.6</v>
      </c>
      <c r="R78" s="3">
        <v>0</v>
      </c>
      <c r="S78" s="3">
        <v>0</v>
      </c>
      <c r="T78" s="3" t="s">
        <v>52</v>
      </c>
      <c r="U78">
        <v>70</v>
      </c>
      <c r="V78" s="3" t="s">
        <v>40</v>
      </c>
    </row>
    <row r="79" spans="1:26" x14ac:dyDescent="0.3">
      <c r="A79" s="3" t="s">
        <v>10</v>
      </c>
      <c r="B79" s="3" t="s">
        <v>19</v>
      </c>
      <c r="C79" s="3" t="s">
        <v>67</v>
      </c>
      <c r="D79" s="3">
        <v>6.36</v>
      </c>
      <c r="E79">
        <v>0</v>
      </c>
      <c r="F79">
        <v>19</v>
      </c>
      <c r="G79">
        <v>10</v>
      </c>
      <c r="H79">
        <v>0</v>
      </c>
      <c r="I79">
        <v>0</v>
      </c>
      <c r="J79">
        <v>9</v>
      </c>
      <c r="K79">
        <v>99.37</v>
      </c>
      <c r="L79">
        <v>0</v>
      </c>
      <c r="M79" s="9">
        <v>25.6</v>
      </c>
      <c r="N79">
        <v>1</v>
      </c>
      <c r="O79" s="9">
        <v>32</v>
      </c>
      <c r="P79" s="3">
        <v>3.1</v>
      </c>
      <c r="Q79" s="3">
        <v>50.1</v>
      </c>
      <c r="R79" s="3">
        <v>0</v>
      </c>
      <c r="S79" s="3">
        <v>0</v>
      </c>
      <c r="T79" s="3" t="s">
        <v>52</v>
      </c>
      <c r="U79">
        <v>70</v>
      </c>
      <c r="V79" s="3" t="s">
        <v>40</v>
      </c>
    </row>
    <row r="80" spans="1:26" x14ac:dyDescent="0.3">
      <c r="A80" s="3" t="s">
        <v>15</v>
      </c>
      <c r="B80" s="3" t="s">
        <v>44</v>
      </c>
      <c r="C80" s="3" t="s">
        <v>67</v>
      </c>
      <c r="D80" s="3">
        <v>103</v>
      </c>
      <c r="E80">
        <v>1</v>
      </c>
      <c r="F80">
        <v>31</v>
      </c>
      <c r="G80">
        <v>15</v>
      </c>
      <c r="H80">
        <v>1</v>
      </c>
      <c r="I80">
        <v>14</v>
      </c>
      <c r="J80">
        <v>14</v>
      </c>
      <c r="K80">
        <v>1.3029999999999999</v>
      </c>
      <c r="L80">
        <v>0</v>
      </c>
      <c r="M80" s="9">
        <v>124</v>
      </c>
      <c r="N80">
        <v>1</v>
      </c>
      <c r="O80" s="9">
        <v>8</v>
      </c>
      <c r="P80" s="3">
        <v>2.2999999999999998</v>
      </c>
      <c r="Q80" s="7">
        <v>23</v>
      </c>
      <c r="R80" s="3">
        <v>0</v>
      </c>
      <c r="S80" s="3">
        <v>0</v>
      </c>
      <c r="T80" s="3" t="s">
        <v>52</v>
      </c>
      <c r="U80" s="3">
        <v>31</v>
      </c>
      <c r="V80" s="3" t="s">
        <v>40</v>
      </c>
    </row>
    <row r="81" spans="1:31" x14ac:dyDescent="0.3">
      <c r="A81" s="3" t="s">
        <v>15</v>
      </c>
      <c r="B81" s="3" t="s">
        <v>43</v>
      </c>
      <c r="C81" s="3" t="s">
        <v>67</v>
      </c>
      <c r="D81" s="3">
        <v>36.799999999999997</v>
      </c>
      <c r="E81">
        <v>1</v>
      </c>
      <c r="F81">
        <v>31</v>
      </c>
      <c r="G81">
        <v>15</v>
      </c>
      <c r="H81">
        <v>1</v>
      </c>
      <c r="I81">
        <v>14</v>
      </c>
      <c r="J81">
        <v>14</v>
      </c>
      <c r="K81" s="4">
        <v>1.268</v>
      </c>
      <c r="L81">
        <v>0</v>
      </c>
      <c r="M81" s="9">
        <v>124</v>
      </c>
      <c r="N81">
        <v>1</v>
      </c>
      <c r="O81" s="9">
        <v>8</v>
      </c>
      <c r="P81" s="3">
        <v>2.2999999999999998</v>
      </c>
      <c r="Q81" s="3">
        <v>19.899999999999999</v>
      </c>
      <c r="R81" s="3">
        <v>0</v>
      </c>
      <c r="S81" s="3">
        <v>0</v>
      </c>
      <c r="T81" s="3" t="s">
        <v>52</v>
      </c>
      <c r="U81" s="3">
        <v>31</v>
      </c>
      <c r="V81" s="3" t="s">
        <v>40</v>
      </c>
    </row>
    <row r="82" spans="1:3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1:3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3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spans="1:3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3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spans="1:3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spans="1:3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spans="1:3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spans="1:3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1:3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3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spans="1:3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3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spans="1:3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3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spans="1:3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spans="1:3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spans="1:3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spans="1:3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spans="1:3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spans="1:3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spans="1:3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4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spans="1:3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spans="1:3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3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4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spans="1:3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4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3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4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spans="1:3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3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spans="1:3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3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spans="1:3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3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spans="1:3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4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spans="1:3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4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spans="1:3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spans="1:3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spans="1:3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3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4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spans="1:3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3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spans="1:3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3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spans="1:3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4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spans="1:3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4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spans="1:3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spans="1:3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spans="1:3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spans="1:3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spans="1:3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spans="1:3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4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spans="1:3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3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spans="1:3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3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4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spans="1:3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3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spans="1:3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4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3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spans="1:3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4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3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spans="1:3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spans="1:3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spans="1:3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spans="1:3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4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spans="1:3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3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spans="1:3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3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spans="1:3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3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spans="1:3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spans="1:3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spans="1:3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spans="1:3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spans="1:3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spans="1:3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spans="1:3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spans="1:3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4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spans="1:3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3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spans="1:3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3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spans="1:3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3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spans="1:3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3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spans="1:3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3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spans="1:3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spans="1:3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spans="1:3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spans="1:3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spans="1:3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3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spans="1:3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3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spans="1:3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3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spans="1:3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spans="1:3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spans="1:3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spans="1:3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spans="1:3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spans="1:3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spans="1:3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spans="1:3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spans="1:3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3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spans="1:3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3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spans="1:3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3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spans="1:3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3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spans="1:3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3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spans="1:3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spans="1:3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spans="1:3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spans="1:3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spans="1:3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3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spans="1:3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3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spans="1:3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3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</sheetData>
  <sortState xmlns:xlrd2="http://schemas.microsoft.com/office/spreadsheetml/2017/richdata2" ref="A2:Z211">
    <sortCondition descending="1" ref="V1:V211"/>
  </sortState>
  <hyperlinks>
    <hyperlink ref="V10" r:id="rId1" display="\\\\" xr:uid="{13EC43AE-7383-49BD-AA10-C8F00A4C4DD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</vt:lpstr>
      <vt:lpstr>inference</vt:lpstr>
      <vt:lpstr>inference2</vt:lpstr>
      <vt:lpstr>combined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Nadeem Sufyan</cp:lastModifiedBy>
  <dcterms:created xsi:type="dcterms:W3CDTF">2015-06-05T18:17:20Z</dcterms:created>
  <dcterms:modified xsi:type="dcterms:W3CDTF">2026-05-01T04:21:56Z</dcterms:modified>
</cp:coreProperties>
</file>